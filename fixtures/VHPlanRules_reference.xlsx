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idavid\dev\ov\ov-arizona-backend-ecuador\ams-rule\flyway\src\main\resources\db\migration\"/>
    </mc:Choice>
  </mc:AlternateContent>
  <xr:revisionPtr revIDLastSave="0" documentId="13_ncr:1_{6952A3EA-C245-45D5-BF84-E1CA4C81039F}" xr6:coauthVersionLast="47" xr6:coauthVersionMax="47" xr10:uidLastSave="{00000000-0000-0000-0000-000000000000}"/>
  <bookViews>
    <workbookView xWindow="28680" yWindow="-120" windowWidth="29040" windowHeight="17520" tabRatio="794" activeTab="2" xr2:uid="{00000000-000D-0000-FFFF-FFFF00000000}"/>
  </bookViews>
  <sheets>
    <sheet name="RuleKit" sheetId="5" r:id="rId1"/>
    <sheet name="RatingList" sheetId="6" r:id="rId2"/>
    <sheet name="VHPlanRules" sheetId="7" r:id="rId3"/>
    <sheet name="LOV" sheetId="4" state="hidden" r:id="rId4"/>
  </sheets>
  <definedNames>
    <definedName name="LOV_ComponentState">LOV!$B$21:$B$23</definedName>
    <definedName name="LOV_RatingList__Type">LOV!$B$24:$B$25</definedName>
    <definedName name="LOV_RatingListId">RatingList[ID]</definedName>
    <definedName name="LOV_RuleKitId">RuleKit[ID]</definedName>
    <definedName name="LOV_SelectorType">LOV!$B$3:$B$9</definedName>
    <definedName name="LOV_TrueFalse">LOV!$B$1:$B$2</definedName>
    <definedName name="LOV_VehiclePlan">LOV!$B$10:$B$20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J3" i="6"/>
</calcChain>
</file>

<file path=xl/sharedStrings.xml><?xml version="1.0" encoding="utf-8"?>
<sst xmlns="http://schemas.openxmlformats.org/spreadsheetml/2006/main" count="434" uniqueCount="93">
  <si>
    <t>TrueFalse</t>
  </si>
  <si>
    <t>True</t>
  </si>
  <si>
    <t>TRUE</t>
  </si>
  <si>
    <t>False</t>
  </si>
  <si>
    <t>FALSE</t>
  </si>
  <si>
    <t>SelectorType</t>
  </si>
  <si>
    <t>Claim event</t>
  </si>
  <si>
    <t>ClaimEvent</t>
  </si>
  <si>
    <t>Product</t>
  </si>
  <si>
    <t>Product variant</t>
  </si>
  <si>
    <t>ProductVariant</t>
  </si>
  <si>
    <t>None</t>
  </si>
  <si>
    <t>Party type</t>
  </si>
  <si>
    <t>PartyType</t>
  </si>
  <si>
    <t>Claim type</t>
  </si>
  <si>
    <t>ClaimType</t>
  </si>
  <si>
    <t>Other</t>
  </si>
  <si>
    <t>VehiclePlan</t>
  </si>
  <si>
    <t>All</t>
  </si>
  <si>
    <t>ALL</t>
  </si>
  <si>
    <t>Senior</t>
  </si>
  <si>
    <t>SENIOR</t>
  </si>
  <si>
    <t>Medium</t>
  </si>
  <si>
    <t>MEDIUM</t>
  </si>
  <si>
    <t>MOTOS</t>
  </si>
  <si>
    <t>Top</t>
  </si>
  <si>
    <t>TOP</t>
  </si>
  <si>
    <t>Suv</t>
  </si>
  <si>
    <t>SUV</t>
  </si>
  <si>
    <t>Contados</t>
  </si>
  <si>
    <t>CONTADOS</t>
  </si>
  <si>
    <t>Seguro Planeta</t>
  </si>
  <si>
    <t>SEGURO_PLANETA</t>
  </si>
  <si>
    <t>Pro</t>
  </si>
  <si>
    <t>PRO</t>
  </si>
  <si>
    <t>Produbanco</t>
  </si>
  <si>
    <t>PRODUBANCO</t>
  </si>
  <si>
    <t>Beginner</t>
  </si>
  <si>
    <t>BEGINNER</t>
  </si>
  <si>
    <t>ComponentState</t>
  </si>
  <si>
    <t>Draft</t>
  </si>
  <si>
    <t>DRAFT</t>
  </si>
  <si>
    <t>Archival</t>
  </si>
  <si>
    <t>ARCHIVAL</t>
  </si>
  <si>
    <t>Final</t>
  </si>
  <si>
    <t>FINAL</t>
  </si>
  <si>
    <t>RatingList__Type</t>
  </si>
  <si>
    <t>Local</t>
  </si>
  <si>
    <t>LocalRatingList</t>
  </si>
  <si>
    <t>Global</t>
  </si>
  <si>
    <t>GlobalRatingList</t>
  </si>
  <si>
    <t>ID</t>
  </si>
  <si>
    <t>Code</t>
  </si>
  <si>
    <t>Name</t>
  </si>
  <si>
    <t>Description</t>
  </si>
  <si>
    <t>Version</t>
  </si>
  <si>
    <t>State</t>
  </si>
  <si>
    <t>Rule kit</t>
  </si>
  <si>
    <t>Type</t>
  </si>
  <si>
    <t>VH_PLAN_RULES</t>
  </si>
  <si>
    <t>VHPlanRules</t>
  </si>
  <si>
    <t>Selector</t>
  </si>
  <si>
    <t>Selector type</t>
  </si>
  <si>
    <t>Valid from</t>
  </si>
  <si>
    <t>Valid to</t>
  </si>
  <si>
    <t>Rating list</t>
  </si>
  <si>
    <t>Transaction type</t>
  </si>
  <si>
    <t>NEWBUSINESS</t>
  </si>
  <si>
    <t>RENEWAL</t>
  </si>
  <si>
    <t>Plan type</t>
  </si>
  <si>
    <t>Sub product</t>
  </si>
  <si>
    <t>MODULAR</t>
  </si>
  <si>
    <t>Role type</t>
  </si>
  <si>
    <t>UNW</t>
  </si>
  <si>
    <t>USER</t>
  </si>
  <si>
    <t>Years from</t>
  </si>
  <si>
    <t>Years to</t>
  </si>
  <si>
    <t>Factor</t>
  </si>
  <si>
    <t>Factor min</t>
  </si>
  <si>
    <t>Factor max</t>
  </si>
  <si>
    <t>Days to renewal</t>
  </si>
  <si>
    <t>Ensurance line of business</t>
  </si>
  <si>
    <t>11793261264993</t>
  </si>
  <si>
    <t>61491839606</t>
  </si>
  <si>
    <t>Premium min</t>
  </si>
  <si>
    <t>Owner civil status code</t>
  </si>
  <si>
    <t>CASADO</t>
  </si>
  <si>
    <t>Owner drivers age from</t>
  </si>
  <si>
    <t>Owner drivers age to</t>
  </si>
  <si>
    <t>Sum insured from</t>
  </si>
  <si>
    <t>Sum insured to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</si>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</sst>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"/>
    <numFmt numFmtId="165" formatCode="#,##0.00000000"/>
  </numFmts>
  <fonts count="7">
    <font>
      <sz val="11"/>
      <color theme="1"/>
      <name val="Czcionka tekstu podstawowego"/>
      <family val="2"/>
      <charset val="238"/>
    </font>
    <font>
      <sz val="8"/>
      <color theme="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Czcionka tekstu podstawowego"/>
      <family val="2"/>
      <charset val="238"/>
    </font>
    <font>
      <sz val="11"/>
      <color rgb="FF9C5700"/>
      <name val="Calibri"/>
      <family val="2"/>
      <scheme val="minor"/>
    </font>
    <font>
      <sz val="8"/>
      <color rgb="FF9C57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1"/>
      </right>
      <top/>
      <bottom style="medium">
        <color theme="1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0" fontId="3" fillId="0" borderId="1" xfId="0" applyFont="1" applyFill="1" applyBorder="1"/>
    <xf numFmtId="0" fontId="1" fillId="0" borderId="0" xfId="0" applyFont="1" applyFill="1"/>
    <xf numFmtId="0" fontId="1" fillId="0" borderId="0" xfId="0" applyFont="1" applyFill="1" applyAlignment="1">
      <alignment wrapText="1"/>
    </xf>
    <xf numFmtId="3" fontId="1" fillId="0" borderId="0" xfId="0" applyNumberFormat="1" applyFont="1" applyFill="1"/>
    <xf numFmtId="165" fontId="1" fillId="0" borderId="0" xfId="0" applyNumberFormat="1" applyFont="1" applyFill="1"/>
    <xf numFmtId="4" fontId="1" fillId="0" borderId="0" xfId="0" applyNumberFormat="1" applyFont="1" applyFill="1"/>
    <xf numFmtId="0" fontId="0" fillId="0" borderId="0" xfId="0" applyFill="1"/>
    <xf numFmtId="0" fontId="1" fillId="4" borderId="0" xfId="0" applyFont="1" applyFill="1"/>
    <xf numFmtId="0" fontId="1" fillId="4" borderId="0" xfId="0" applyFont="1" applyFill="1" applyAlignment="1">
      <alignment wrapText="1"/>
    </xf>
    <xf numFmtId="3" fontId="1" fillId="4" borderId="0" xfId="0" applyNumberFormat="1" applyFont="1" applyFill="1"/>
    <xf numFmtId="165" fontId="1" fillId="4" borderId="0" xfId="0" applyNumberFormat="1" applyFont="1" applyFill="1"/>
    <xf numFmtId="4" fontId="1" fillId="4" borderId="0" xfId="0" applyNumberFormat="1" applyFont="1" applyFill="1"/>
    <xf numFmtId="0" fontId="1" fillId="5" borderId="0" xfId="0" applyFont="1" applyFill="1"/>
    <xf numFmtId="0" fontId="1" fillId="5" borderId="0" xfId="0" applyFont="1" applyFill="1" applyAlignment="1">
      <alignment wrapText="1"/>
    </xf>
    <xf numFmtId="3" fontId="1" fillId="5" borderId="0" xfId="0" applyNumberFormat="1" applyFont="1" applyFill="1"/>
    <xf numFmtId="165" fontId="1" fillId="5" borderId="0" xfId="0" applyNumberFormat="1" applyFont="1" applyFill="1"/>
    <xf numFmtId="4" fontId="1" fillId="5" borderId="0" xfId="0" applyNumberFormat="1" applyFont="1" applyFill="1"/>
    <xf numFmtId="0" fontId="1" fillId="6" borderId="0" xfId="0" applyFont="1" applyFill="1"/>
    <xf numFmtId="0" fontId="1" fillId="6" borderId="0" xfId="0" applyFont="1" applyFill="1" applyAlignment="1">
      <alignment wrapText="1"/>
    </xf>
    <xf numFmtId="3" fontId="1" fillId="6" borderId="0" xfId="0" applyNumberFormat="1" applyFont="1" applyFill="1"/>
    <xf numFmtId="165" fontId="1" fillId="6" borderId="0" xfId="0" applyNumberFormat="1" applyFont="1" applyFill="1"/>
    <xf numFmtId="4" fontId="1" fillId="6" borderId="0" xfId="0" applyNumberFormat="1" applyFont="1" applyFill="1"/>
    <xf numFmtId="0" fontId="1" fillId="7" borderId="0" xfId="0" applyFont="1" applyFill="1"/>
    <xf numFmtId="0" fontId="1" fillId="7" borderId="0" xfId="0" applyFont="1" applyFill="1" applyAlignment="1">
      <alignment wrapText="1"/>
    </xf>
    <xf numFmtId="3" fontId="1" fillId="7" borderId="0" xfId="0" applyNumberFormat="1" applyFont="1" applyFill="1"/>
    <xf numFmtId="165" fontId="1" fillId="7" borderId="0" xfId="0" applyNumberFormat="1" applyFont="1" applyFill="1"/>
    <xf numFmtId="4" fontId="1" fillId="7" borderId="0" xfId="0" applyNumberFormat="1" applyFont="1" applyFill="1"/>
    <xf numFmtId="0" fontId="1" fillId="8" borderId="0" xfId="0" applyFont="1" applyFill="1"/>
    <xf numFmtId="0" fontId="1" fillId="8" borderId="0" xfId="0" applyFont="1" applyFill="1" applyAlignment="1">
      <alignment wrapText="1"/>
    </xf>
    <xf numFmtId="3" fontId="1" fillId="8" borderId="0" xfId="0" applyNumberFormat="1" applyFont="1" applyFill="1"/>
    <xf numFmtId="165" fontId="1" fillId="8" borderId="0" xfId="0" applyNumberFormat="1" applyFont="1" applyFill="1"/>
    <xf numFmtId="4" fontId="1" fillId="8" borderId="0" xfId="0" applyNumberFormat="1" applyFont="1" applyFill="1"/>
    <xf numFmtId="165" fontId="6" fillId="3" borderId="0" xfId="1" applyNumberFormat="1" applyFont="1"/>
  </cellXfs>
  <cellStyles count="2">
    <cellStyle name="Neutral" xfId="1" builtinId="28"/>
    <cellStyle name="Normal" xfId="0" builtinId="0"/>
  </cellStyles>
  <dxfs count="3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numFmt numFmtId="164" formatCode="dd\.mm\.yyyy\ hh:mm"/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uleKit" displayName="RuleKit" ref="A1:F2">
  <autoFilter ref="A1:F2" xr:uid="{00000000-0009-0000-0100-000002000000}"/>
  <tableColumns count="6">
    <tableColumn id="1" xr3:uid="{00000000-0010-0000-0000-000001000000}" name="ID"/>
    <tableColumn id="2" xr3:uid="{00000000-0010-0000-0000-000002000000}" name="Code"/>
    <tableColumn id="3" xr3:uid="{00000000-0010-0000-0000-000003000000}" name="Name"/>
    <tableColumn id="4" xr3:uid="{00000000-0010-0000-0000-000004000000}" name="Description"/>
    <tableColumn id="5" xr3:uid="{00000000-0010-0000-0000-000005000000}" name="Version"/>
    <tableColumn id="6" xr3:uid="{00000000-0010-0000-0000-000006000000}" name="State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atingList" displayName="RatingList" ref="A1:L3">
  <autoFilter ref="A1:L3" xr:uid="{00000000-0009-0000-0100-000003000000}"/>
  <sortState xmlns:xlrd2="http://schemas.microsoft.com/office/spreadsheetml/2017/richdata2" ref="A2:L3">
    <sortCondition ref="A1:A3"/>
  </sortState>
  <tableColumns count="12">
    <tableColumn id="1" xr3:uid="{00000000-0010-0000-0100-000001000000}" name="ID"/>
    <tableColumn id="2" xr3:uid="{00000000-0010-0000-0100-000002000000}" name="Rule kit"/>
    <tableColumn id="3" xr3:uid="{00000000-0010-0000-0100-000003000000}" name="Type"/>
    <tableColumn id="4" xr3:uid="{00000000-0010-0000-0100-000004000000}" name="Code"/>
    <tableColumn id="5" xr3:uid="{00000000-0010-0000-0100-000005000000}" name="Name"/>
    <tableColumn id="6" xr3:uid="{00000000-0010-0000-0100-000006000000}" name="Description"/>
    <tableColumn id="7" xr3:uid="{00000000-0010-0000-0100-000007000000}" name="Selector"/>
    <tableColumn id="8" xr3:uid="{00000000-0010-0000-0100-000008000000}" name="Selector type"/>
    <tableColumn id="9" xr3:uid="{00000000-0010-0000-0100-000009000000}" name="Version"/>
    <tableColumn id="10" xr3:uid="{00000000-0010-0000-0100-00000A000000}" name="Valid from"/>
    <tableColumn id="11" xr3:uid="{00000000-0010-0000-0100-00000B000000}" name="Valid to" dataDxfId="34">
      <calculatedColumnFormula>TODAY()- (0.5/24)</calculatedColumnFormula>
    </tableColumn>
    <tableColumn id="12" xr3:uid="{00000000-0010-0000-0100-00000C000000}" name="State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VHPlanRules" displayName="VHPlanRules" ref="A1:S51" headerRowDxfId="2" dataDxfId="0" totalsRowDxfId="1">
  <autoFilter ref="A1:S51" xr:uid="{00000000-0009-0000-0100-000004000000}"/>
  <sortState xmlns:xlrd2="http://schemas.microsoft.com/office/spreadsheetml/2017/richdata2" ref="A2:S51">
    <sortCondition ref="D1:D51"/>
  </sortState>
  <tableColumns count="19">
    <tableColumn id="1" xr3:uid="{00000000-0010-0000-0200-000001000000}" name="ID" dataDxfId="21"/>
    <tableColumn id="2" xr3:uid="{00000000-0010-0000-0200-000002000000}" name="Rating list" dataDxfId="20"/>
    <tableColumn id="3" xr3:uid="{00000000-0010-0000-0200-000003000000}" name="Transaction type" dataDxfId="19"/>
    <tableColumn id="4" xr3:uid="{00000000-0010-0000-0200-000004000000}" name="Plan type" dataDxfId="18"/>
    <tableColumn id="5" xr3:uid="{00000000-0010-0000-0200-000005000000}" name="Sub product" dataDxfId="17"/>
    <tableColumn id="6" xr3:uid="{00000000-0010-0000-0200-000006000000}" name="Role type" dataDxfId="16"/>
    <tableColumn id="7" xr3:uid="{00000000-0010-0000-0200-000007000000}" name="Years from" dataDxfId="15"/>
    <tableColumn id="8" xr3:uid="{00000000-0010-0000-0200-000008000000}" name="Years to" dataDxfId="14"/>
    <tableColumn id="9" xr3:uid="{00000000-0010-0000-0200-000009000000}" name="Factor" dataDxfId="13"/>
    <tableColumn id="10" xr3:uid="{00000000-0010-0000-0200-00000A000000}" name="Factor min" dataDxfId="12"/>
    <tableColumn id="11" xr3:uid="{00000000-0010-0000-0200-00000B000000}" name="Factor max" dataDxfId="11"/>
    <tableColumn id="12" xr3:uid="{00000000-0010-0000-0200-00000C000000}" name="Days to renewal" dataDxfId="10"/>
    <tableColumn id="13" xr3:uid="{00000000-0010-0000-0200-00000D000000}" name="Ensurance line of business" dataDxfId="9"/>
    <tableColumn id="14" xr3:uid="{00000000-0010-0000-0200-00000E000000}" name="Premium min" dataDxfId="8"/>
    <tableColumn id="15" xr3:uid="{00000000-0010-0000-0200-00000F000000}" name="Owner civil status code" dataDxfId="7"/>
    <tableColumn id="16" xr3:uid="{00000000-0010-0000-0200-000010000000}" name="Owner drivers age from" dataDxfId="6"/>
    <tableColumn id="17" xr3:uid="{00000000-0010-0000-0200-000011000000}" name="Owner drivers age to" dataDxfId="5"/>
    <tableColumn id="18" xr3:uid="{00000000-0010-0000-0200-000012000000}" name="Sum insured from" dataDxfId="4"/>
    <tableColumn id="19" xr3:uid="{00000000-0010-0000-0200-000013000000}" name="Sum insured to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2.75" customHeight="1"/>
  <cols>
    <col min="1" max="1" width="23.3984375" style="1" bestFit="1" customWidth="1"/>
    <col min="2" max="2" width="13.69921875" style="1" bestFit="1" customWidth="1"/>
    <col min="3" max="3" width="23.3984375" style="1" bestFit="1" customWidth="1"/>
    <col min="4" max="4" width="39.09765625" style="1" bestFit="1" customWidth="1"/>
    <col min="5" max="5" width="9.69921875" style="1" bestFit="1" customWidth="1"/>
    <col min="6" max="6" width="23.3984375" style="1" bestFit="1" customWidth="1"/>
  </cols>
  <sheetData>
    <row r="1" spans="1:6" ht="13.5" customHeight="1">
      <c r="A1" s="3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</row>
    <row r="2" spans="1:6" ht="13.8"/>
  </sheetData>
  <conditionalFormatting sqref="A2">
    <cfRule type="expression" dxfId="33" priority="1">
      <formula>ISBLANK($A2)</formula>
    </cfRule>
  </conditionalFormatting>
  <conditionalFormatting sqref="B2">
    <cfRule type="expression" dxfId="32" priority="2">
      <formula>ISBLANK($B2)</formula>
    </cfRule>
  </conditionalFormatting>
  <conditionalFormatting sqref="C2">
    <cfRule type="expression" dxfId="31" priority="3">
      <formula>ISBLANK($C2)</formula>
    </cfRule>
  </conditionalFormatting>
  <conditionalFormatting sqref="E2">
    <cfRule type="expression" dxfId="30" priority="4">
      <formula>ISBLANK($E2)</formula>
    </cfRule>
  </conditionalFormatting>
  <dataValidations count="1">
    <dataValidation type="list" allowBlank="1" sqref="F2" xr:uid="{00000000-0002-0000-0000-000000000000}">
      <formula1>LOV_ComponentState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>
      <selection activeCell="A3" sqref="A3"/>
    </sheetView>
  </sheetViews>
  <sheetFormatPr defaultRowHeight="12.75" customHeight="1"/>
  <cols>
    <col min="1" max="3" width="23.3984375" style="1" bestFit="1" customWidth="1"/>
    <col min="4" max="4" width="13.69921875" style="1" bestFit="1" customWidth="1"/>
    <col min="5" max="5" width="23.3984375" style="1" bestFit="1" customWidth="1"/>
    <col min="6" max="6" width="39.09765625" style="4" bestFit="1" customWidth="1"/>
    <col min="7" max="8" width="23.3984375" style="1" bestFit="1" customWidth="1"/>
    <col min="9" max="9" width="39.09765625" style="4" bestFit="1" customWidth="1"/>
    <col min="10" max="11" width="13.69921875" style="5" bestFit="1" customWidth="1"/>
    <col min="12" max="12" width="23.3984375" style="1" bestFit="1" customWidth="1"/>
  </cols>
  <sheetData>
    <row r="1" spans="1:12" ht="13.5" customHeight="1">
      <c r="A1" s="3" t="s">
        <v>51</v>
      </c>
      <c r="B1" s="3" t="s">
        <v>57</v>
      </c>
      <c r="C1" s="3" t="s">
        <v>58</v>
      </c>
      <c r="D1" s="3" t="s">
        <v>52</v>
      </c>
      <c r="E1" s="3" t="s">
        <v>53</v>
      </c>
      <c r="F1" s="3" t="s">
        <v>54</v>
      </c>
      <c r="G1" s="3" t="s">
        <v>61</v>
      </c>
      <c r="H1" s="3" t="s">
        <v>62</v>
      </c>
      <c r="I1" s="3" t="s">
        <v>55</v>
      </c>
      <c r="J1" s="3" t="s">
        <v>63</v>
      </c>
      <c r="K1" s="3" t="s">
        <v>64</v>
      </c>
      <c r="L1" s="3" t="s">
        <v>56</v>
      </c>
    </row>
    <row r="2" spans="1:12" ht="13.8">
      <c r="A2" s="1" t="s">
        <v>91</v>
      </c>
      <c r="C2" s="1" t="s">
        <v>49</v>
      </c>
      <c r="D2" s="1" t="s">
        <v>59</v>
      </c>
      <c r="E2" s="1" t="s">
        <v>60</v>
      </c>
      <c r="F2" s="4" t="s">
        <v>60</v>
      </c>
      <c r="H2" s="1" t="s">
        <v>11</v>
      </c>
      <c r="I2" s="4">
        <v>18</v>
      </c>
      <c r="J2" s="5">
        <v>45517</v>
      </c>
      <c r="K2" s="5">
        <f t="shared" ref="K2" ca="1" si="0">TODAY()- (0.5/24)</f>
        <v>46177.979166666664</v>
      </c>
      <c r="L2" s="1" t="s">
        <v>40</v>
      </c>
    </row>
    <row r="3" spans="1:12" ht="13.8">
      <c r="A3" s="1" t="s">
        <v>92</v>
      </c>
      <c r="C3" s="1" t="s">
        <v>49</v>
      </c>
      <c r="D3" s="1" t="s">
        <v>59</v>
      </c>
      <c r="E3" s="1" t="s">
        <v>60</v>
      </c>
      <c r="F3" s="4" t="s">
        <v>60</v>
      </c>
      <c r="H3" s="1" t="s">
        <v>11</v>
      </c>
      <c r="I3" s="4">
        <v>19</v>
      </c>
      <c r="J3" s="5">
        <f ca="1">TODAY()</f>
        <v>46178</v>
      </c>
      <c r="L3" s="1" t="s">
        <v>40</v>
      </c>
    </row>
  </sheetData>
  <conditionalFormatting sqref="B2:B3">
    <cfRule type="expression" dxfId="29" priority="1">
      <formula>ISBLANK($B2)</formula>
    </cfRule>
  </conditionalFormatting>
  <conditionalFormatting sqref="C2:C3">
    <cfRule type="expression" dxfId="28" priority="2">
      <formula>ISBLANK($C2)</formula>
    </cfRule>
  </conditionalFormatting>
  <conditionalFormatting sqref="D2:D3">
    <cfRule type="expression" dxfId="27" priority="3">
      <formula>ISBLANK($D2)</formula>
    </cfRule>
  </conditionalFormatting>
  <conditionalFormatting sqref="E2:E3">
    <cfRule type="expression" dxfId="26" priority="4">
      <formula>ISBLANK($E2)</formula>
    </cfRule>
  </conditionalFormatting>
  <conditionalFormatting sqref="G2:G3">
    <cfRule type="expression" dxfId="25" priority="5">
      <formula>ISBLANK($G2)</formula>
    </cfRule>
  </conditionalFormatting>
  <conditionalFormatting sqref="H2:H3">
    <cfRule type="expression" dxfId="24" priority="6">
      <formula>ISBLANK($H2)</formula>
    </cfRule>
  </conditionalFormatting>
  <conditionalFormatting sqref="J2:J3">
    <cfRule type="expression" dxfId="23" priority="7">
      <formula>ISBLANK($J2)</formula>
    </cfRule>
  </conditionalFormatting>
  <dataValidations count="4">
    <dataValidation type="list" allowBlank="1" sqref="B2:B3" xr:uid="{00000000-0002-0000-0100-000000000000}">
      <formula1>LOV_RuleKitId</formula1>
    </dataValidation>
    <dataValidation type="list" allowBlank="1" sqref="C2:C3" xr:uid="{00000000-0002-0000-0100-000001000000}">
      <formula1>LOV_RatingList__Type</formula1>
    </dataValidation>
    <dataValidation type="list" allowBlank="1" sqref="H2:H3" xr:uid="{00000000-0002-0000-0100-000002000000}">
      <formula1>LOV_SelectorType</formula1>
    </dataValidation>
    <dataValidation type="list" allowBlank="1" sqref="L2:L3" xr:uid="{00000000-0002-0000-0100-000003000000}">
      <formula1>LOV_ComponentState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2"/>
  <sheetViews>
    <sheetView tabSelected="1" workbookViewId="0">
      <selection activeCell="E13" sqref="E13"/>
    </sheetView>
  </sheetViews>
  <sheetFormatPr defaultRowHeight="12.75" customHeight="1"/>
  <cols>
    <col min="1" max="1" width="9.8984375" style="1" customWidth="1"/>
    <col min="2" max="2" width="12.59765625" style="1" customWidth="1"/>
    <col min="3" max="3" width="19.69921875" style="4" customWidth="1"/>
    <col min="4" max="4" width="19.296875" style="4" customWidth="1"/>
    <col min="5" max="5" width="20.296875" style="4" customWidth="1"/>
    <col min="6" max="6" width="12.296875" style="4" customWidth="1"/>
    <col min="7" max="8" width="9.69921875" style="6" bestFit="1" customWidth="1"/>
    <col min="9" max="11" width="13.69921875" style="7" bestFit="1" customWidth="1"/>
    <col min="12" max="12" width="13" style="7" bestFit="1" customWidth="1"/>
    <col min="13" max="13" width="21.8984375" style="4" bestFit="1" customWidth="1"/>
    <col min="14" max="14" width="13.69921875" style="8" bestFit="1" customWidth="1"/>
    <col min="15" max="15" width="19.19921875" style="4" bestFit="1" customWidth="1"/>
    <col min="16" max="16" width="19.69921875" style="6" bestFit="1" customWidth="1"/>
    <col min="17" max="17" width="17.59765625" style="6" bestFit="1" customWidth="1"/>
    <col min="18" max="18" width="14.19921875" style="7" bestFit="1" customWidth="1"/>
    <col min="19" max="19" width="13.69921875" style="7" bestFit="1" customWidth="1"/>
  </cols>
  <sheetData>
    <row r="1" spans="1:19" s="15" customFormat="1" ht="13.5" customHeight="1">
      <c r="A1" s="9" t="s">
        <v>51</v>
      </c>
      <c r="B1" s="9" t="s">
        <v>65</v>
      </c>
      <c r="C1" s="9" t="s">
        <v>66</v>
      </c>
      <c r="D1" s="9" t="s">
        <v>69</v>
      </c>
      <c r="E1" s="9" t="s">
        <v>70</v>
      </c>
      <c r="F1" s="9" t="s">
        <v>72</v>
      </c>
      <c r="G1" s="9" t="s">
        <v>75</v>
      </c>
      <c r="H1" s="9" t="s">
        <v>76</v>
      </c>
      <c r="I1" s="9" t="s">
        <v>77</v>
      </c>
      <c r="J1" s="9" t="s">
        <v>78</v>
      </c>
      <c r="K1" s="9" t="s">
        <v>79</v>
      </c>
      <c r="L1" s="9" t="s">
        <v>80</v>
      </c>
      <c r="M1" s="9" t="s">
        <v>81</v>
      </c>
      <c r="N1" s="9" t="s">
        <v>84</v>
      </c>
      <c r="O1" s="9" t="s">
        <v>85</v>
      </c>
      <c r="P1" s="9" t="s">
        <v>87</v>
      </c>
      <c r="Q1" s="9" t="s">
        <v>88</v>
      </c>
      <c r="R1" s="9" t="s">
        <v>89</v>
      </c>
      <c r="S1" s="9" t="s">
        <v>90</v>
      </c>
    </row>
    <row r="2" spans="1:19" s="15" customFormat="1" ht="13.8">
      <c r="A2" s="10"/>
      <c r="B2" s="10" t="s">
        <v>92</v>
      </c>
      <c r="C2" s="11" t="s">
        <v>67</v>
      </c>
      <c r="D2" s="11" t="s">
        <v>37</v>
      </c>
      <c r="E2" s="11" t="s">
        <v>71</v>
      </c>
      <c r="F2" s="11" t="s">
        <v>73</v>
      </c>
      <c r="G2" s="12">
        <v>0</v>
      </c>
      <c r="H2" s="12">
        <v>10</v>
      </c>
      <c r="I2" s="13">
        <v>0.5</v>
      </c>
      <c r="J2" s="13"/>
      <c r="K2" s="13"/>
      <c r="L2" s="13">
        <v>45</v>
      </c>
      <c r="M2" s="11" t="s">
        <v>82</v>
      </c>
      <c r="N2" s="14"/>
      <c r="O2" s="11"/>
      <c r="P2" s="12"/>
      <c r="Q2" s="12"/>
      <c r="R2" s="13">
        <v>0</v>
      </c>
      <c r="S2" s="13">
        <v>999999</v>
      </c>
    </row>
    <row r="3" spans="1:19" s="15" customFormat="1" ht="13.8">
      <c r="A3" s="10"/>
      <c r="B3" s="10" t="s">
        <v>92</v>
      </c>
      <c r="C3" s="11" t="s">
        <v>67</v>
      </c>
      <c r="D3" s="11" t="s">
        <v>37</v>
      </c>
      <c r="E3" s="11" t="s">
        <v>71</v>
      </c>
      <c r="F3" s="11" t="s">
        <v>74</v>
      </c>
      <c r="G3" s="12">
        <v>0</v>
      </c>
      <c r="H3" s="12">
        <v>10</v>
      </c>
      <c r="I3" s="13">
        <v>0.5</v>
      </c>
      <c r="J3" s="13"/>
      <c r="K3" s="13"/>
      <c r="L3" s="13">
        <v>45</v>
      </c>
      <c r="M3" s="11" t="s">
        <v>82</v>
      </c>
      <c r="N3" s="14"/>
      <c r="O3" s="11"/>
      <c r="P3" s="12"/>
      <c r="Q3" s="12"/>
      <c r="R3" s="13">
        <v>0</v>
      </c>
      <c r="S3" s="13">
        <v>999999</v>
      </c>
    </row>
    <row r="4" spans="1:19" s="15" customFormat="1" ht="13.8">
      <c r="A4" s="10"/>
      <c r="B4" s="10" t="s">
        <v>92</v>
      </c>
      <c r="C4" s="11" t="s">
        <v>68</v>
      </c>
      <c r="D4" s="11" t="s">
        <v>37</v>
      </c>
      <c r="E4" s="11" t="s">
        <v>71</v>
      </c>
      <c r="F4" s="11" t="s">
        <v>73</v>
      </c>
      <c r="G4" s="12">
        <v>0</v>
      </c>
      <c r="H4" s="12">
        <v>15</v>
      </c>
      <c r="I4" s="13">
        <v>0.5</v>
      </c>
      <c r="J4" s="13">
        <v>1.9E-2</v>
      </c>
      <c r="K4" s="13"/>
      <c r="L4" s="13">
        <v>45</v>
      </c>
      <c r="M4" s="11" t="s">
        <v>82</v>
      </c>
      <c r="N4" s="14"/>
      <c r="O4" s="11"/>
      <c r="P4" s="12"/>
      <c r="Q4" s="12"/>
      <c r="R4" s="13">
        <v>0</v>
      </c>
      <c r="S4" s="13">
        <v>999999</v>
      </c>
    </row>
    <row r="5" spans="1:19" s="15" customFormat="1" ht="13.8">
      <c r="A5" s="10"/>
      <c r="B5" s="10" t="s">
        <v>92</v>
      </c>
      <c r="C5" s="11" t="s">
        <v>68</v>
      </c>
      <c r="D5" s="11" t="s">
        <v>37</v>
      </c>
      <c r="E5" s="11" t="s">
        <v>71</v>
      </c>
      <c r="F5" s="11" t="s">
        <v>74</v>
      </c>
      <c r="G5" s="12">
        <v>0</v>
      </c>
      <c r="H5" s="12">
        <v>15</v>
      </c>
      <c r="I5" s="13">
        <v>0.5</v>
      </c>
      <c r="J5" s="13">
        <v>1.9E-2</v>
      </c>
      <c r="K5" s="13"/>
      <c r="L5" s="13">
        <v>45</v>
      </c>
      <c r="M5" s="11" t="s">
        <v>82</v>
      </c>
      <c r="N5" s="14"/>
      <c r="O5" s="11"/>
      <c r="P5" s="12"/>
      <c r="Q5" s="12"/>
      <c r="R5" s="13">
        <v>0</v>
      </c>
      <c r="S5" s="13">
        <v>999999</v>
      </c>
    </row>
    <row r="6" spans="1:19" s="15" customFormat="1" ht="13.8">
      <c r="A6" s="10"/>
      <c r="B6" s="10" t="s">
        <v>92</v>
      </c>
      <c r="C6" s="11" t="s">
        <v>67</v>
      </c>
      <c r="D6" s="11" t="s">
        <v>29</v>
      </c>
      <c r="E6" s="11" t="s">
        <v>30</v>
      </c>
      <c r="F6" s="11" t="s">
        <v>73</v>
      </c>
      <c r="G6" s="12">
        <v>0</v>
      </c>
      <c r="H6" s="12">
        <v>15</v>
      </c>
      <c r="I6" s="13"/>
      <c r="J6" s="13"/>
      <c r="K6" s="13"/>
      <c r="L6" s="13">
        <v>45</v>
      </c>
      <c r="M6" s="11" t="s">
        <v>83</v>
      </c>
      <c r="N6" s="14">
        <v>500</v>
      </c>
      <c r="O6" s="11"/>
      <c r="P6" s="12"/>
      <c r="Q6" s="12"/>
      <c r="R6" s="13">
        <v>0</v>
      </c>
      <c r="S6" s="13">
        <v>200000</v>
      </c>
    </row>
    <row r="7" spans="1:19" s="15" customFormat="1" ht="13.8">
      <c r="A7" s="10"/>
      <c r="B7" s="10" t="s">
        <v>92</v>
      </c>
      <c r="C7" s="11" t="s">
        <v>67</v>
      </c>
      <c r="D7" s="11" t="s">
        <v>29</v>
      </c>
      <c r="E7" s="11" t="s">
        <v>30</v>
      </c>
      <c r="F7" s="11" t="s">
        <v>74</v>
      </c>
      <c r="G7" s="12">
        <v>0</v>
      </c>
      <c r="H7" s="12">
        <v>15</v>
      </c>
      <c r="I7" s="13"/>
      <c r="J7" s="13"/>
      <c r="K7" s="13"/>
      <c r="L7" s="13">
        <v>45</v>
      </c>
      <c r="M7" s="11" t="s">
        <v>83</v>
      </c>
      <c r="N7" s="14">
        <v>500</v>
      </c>
      <c r="O7" s="11"/>
      <c r="P7" s="12"/>
      <c r="Q7" s="12"/>
      <c r="R7" s="13">
        <v>0</v>
      </c>
      <c r="S7" s="13">
        <v>200000</v>
      </c>
    </row>
    <row r="8" spans="1:19" s="15" customFormat="1" ht="13.8">
      <c r="A8" s="10"/>
      <c r="B8" s="10" t="s">
        <v>92</v>
      </c>
      <c r="C8" s="11" t="s">
        <v>68</v>
      </c>
      <c r="D8" s="11" t="s">
        <v>29</v>
      </c>
      <c r="E8" s="11" t="s">
        <v>30</v>
      </c>
      <c r="F8" s="11" t="s">
        <v>73</v>
      </c>
      <c r="G8" s="12">
        <v>0</v>
      </c>
      <c r="H8" s="12">
        <v>15</v>
      </c>
      <c r="I8" s="13"/>
      <c r="J8" s="13">
        <v>1.9E-2</v>
      </c>
      <c r="K8" s="13"/>
      <c r="L8" s="13">
        <v>45</v>
      </c>
      <c r="M8" s="11" t="s">
        <v>83</v>
      </c>
      <c r="N8" s="14">
        <v>500</v>
      </c>
      <c r="O8" s="11"/>
      <c r="P8" s="12"/>
      <c r="Q8" s="12"/>
      <c r="R8" s="13">
        <v>0</v>
      </c>
      <c r="S8" s="13">
        <v>200000</v>
      </c>
    </row>
    <row r="9" spans="1:19" s="15" customFormat="1" ht="13.8">
      <c r="A9" s="10"/>
      <c r="B9" s="10" t="s">
        <v>92</v>
      </c>
      <c r="C9" s="11" t="s">
        <v>68</v>
      </c>
      <c r="D9" s="11" t="s">
        <v>29</v>
      </c>
      <c r="E9" s="11" t="s">
        <v>30</v>
      </c>
      <c r="F9" s="11" t="s">
        <v>74</v>
      </c>
      <c r="G9" s="12">
        <v>0</v>
      </c>
      <c r="H9" s="12">
        <v>15</v>
      </c>
      <c r="I9" s="13"/>
      <c r="J9" s="13">
        <v>1.9E-2</v>
      </c>
      <c r="K9" s="13"/>
      <c r="L9" s="13">
        <v>45</v>
      </c>
      <c r="M9" s="11" t="s">
        <v>83</v>
      </c>
      <c r="N9" s="14">
        <v>500</v>
      </c>
      <c r="O9" s="11"/>
      <c r="P9" s="12"/>
      <c r="Q9" s="12"/>
      <c r="R9" s="13">
        <v>0</v>
      </c>
      <c r="S9" s="13">
        <v>200000</v>
      </c>
    </row>
    <row r="10" spans="1:19" s="15" customFormat="1" ht="13.8">
      <c r="A10" s="10"/>
      <c r="B10" s="10" t="s">
        <v>92</v>
      </c>
      <c r="C10" s="11" t="s">
        <v>67</v>
      </c>
      <c r="D10" s="11" t="s">
        <v>22</v>
      </c>
      <c r="E10" s="11" t="s">
        <v>71</v>
      </c>
      <c r="F10" s="11" t="s">
        <v>73</v>
      </c>
      <c r="G10" s="12">
        <v>0</v>
      </c>
      <c r="H10" s="12">
        <v>10</v>
      </c>
      <c r="I10" s="13">
        <v>1.69</v>
      </c>
      <c r="J10" s="13"/>
      <c r="K10" s="13"/>
      <c r="L10" s="13">
        <v>45</v>
      </c>
      <c r="M10" s="11" t="s">
        <v>82</v>
      </c>
      <c r="N10" s="14"/>
      <c r="O10" s="11"/>
      <c r="P10" s="12"/>
      <c r="Q10" s="12"/>
      <c r="R10" s="13">
        <v>0</v>
      </c>
      <c r="S10" s="13">
        <v>999999</v>
      </c>
    </row>
    <row r="11" spans="1:19" s="15" customFormat="1" ht="13.8">
      <c r="A11" s="10"/>
      <c r="B11" s="10" t="s">
        <v>92</v>
      </c>
      <c r="C11" s="11" t="s">
        <v>67</v>
      </c>
      <c r="D11" s="11" t="s">
        <v>22</v>
      </c>
      <c r="E11" s="11" t="s">
        <v>71</v>
      </c>
      <c r="F11" s="11" t="s">
        <v>74</v>
      </c>
      <c r="G11" s="12">
        <v>0</v>
      </c>
      <c r="H11" s="12">
        <v>10</v>
      </c>
      <c r="I11" s="13">
        <v>1.69</v>
      </c>
      <c r="J11" s="13"/>
      <c r="K11" s="13"/>
      <c r="L11" s="13">
        <v>45</v>
      </c>
      <c r="M11" s="11" t="s">
        <v>82</v>
      </c>
      <c r="N11" s="14"/>
      <c r="O11" s="11"/>
      <c r="P11" s="12"/>
      <c r="Q11" s="12"/>
      <c r="R11" s="13">
        <v>0</v>
      </c>
      <c r="S11" s="13">
        <v>999999</v>
      </c>
    </row>
    <row r="12" spans="1:19" s="15" customFormat="1" ht="13.8">
      <c r="A12" s="10"/>
      <c r="B12" s="10" t="s">
        <v>92</v>
      </c>
      <c r="C12" s="11" t="s">
        <v>68</v>
      </c>
      <c r="D12" s="11" t="s">
        <v>22</v>
      </c>
      <c r="E12" s="11" t="s">
        <v>71</v>
      </c>
      <c r="F12" s="11" t="s">
        <v>73</v>
      </c>
      <c r="G12" s="12">
        <v>0</v>
      </c>
      <c r="H12" s="12">
        <v>15</v>
      </c>
      <c r="I12" s="13">
        <v>1.69</v>
      </c>
      <c r="J12" s="13">
        <v>1.9E-2</v>
      </c>
      <c r="K12" s="13"/>
      <c r="L12" s="13">
        <v>45</v>
      </c>
      <c r="M12" s="11" t="s">
        <v>82</v>
      </c>
      <c r="N12" s="14"/>
      <c r="O12" s="11"/>
      <c r="P12" s="12"/>
      <c r="Q12" s="12"/>
      <c r="R12" s="13">
        <v>0</v>
      </c>
      <c r="S12" s="13">
        <v>999999</v>
      </c>
    </row>
    <row r="13" spans="1:19" s="15" customFormat="1" ht="13.8">
      <c r="A13" s="10"/>
      <c r="B13" s="10" t="s">
        <v>92</v>
      </c>
      <c r="C13" s="11" t="s">
        <v>68</v>
      </c>
      <c r="D13" s="11" t="s">
        <v>22</v>
      </c>
      <c r="E13" s="11" t="s">
        <v>71</v>
      </c>
      <c r="F13" s="11" t="s">
        <v>74</v>
      </c>
      <c r="G13" s="12">
        <v>0</v>
      </c>
      <c r="H13" s="12">
        <v>15</v>
      </c>
      <c r="I13" s="13">
        <v>1.69</v>
      </c>
      <c r="J13" s="13">
        <v>1.9E-2</v>
      </c>
      <c r="K13" s="13"/>
      <c r="L13" s="13">
        <v>45</v>
      </c>
      <c r="M13" s="11" t="s">
        <v>82</v>
      </c>
      <c r="N13" s="14"/>
      <c r="O13" s="11"/>
      <c r="P13" s="12"/>
      <c r="Q13" s="12"/>
      <c r="R13" s="13">
        <v>0</v>
      </c>
      <c r="S13" s="13">
        <v>999999</v>
      </c>
    </row>
    <row r="14" spans="1:19" s="15" customFormat="1" ht="13.8">
      <c r="A14" s="10"/>
      <c r="B14" s="10" t="s">
        <v>92</v>
      </c>
      <c r="C14" s="11" t="s">
        <v>68</v>
      </c>
      <c r="D14" s="11" t="s">
        <v>22</v>
      </c>
      <c r="E14" s="11" t="s">
        <v>71</v>
      </c>
      <c r="F14" s="11" t="s">
        <v>73</v>
      </c>
      <c r="G14" s="12">
        <v>16</v>
      </c>
      <c r="H14" s="12">
        <v>20</v>
      </c>
      <c r="I14" s="13">
        <v>3</v>
      </c>
      <c r="J14" s="13">
        <v>1.9E-2</v>
      </c>
      <c r="K14" s="13"/>
      <c r="L14" s="13">
        <v>45</v>
      </c>
      <c r="M14" s="11" t="s">
        <v>82</v>
      </c>
      <c r="N14" s="14"/>
      <c r="O14" s="11"/>
      <c r="P14" s="12"/>
      <c r="Q14" s="12"/>
      <c r="R14" s="13">
        <v>0</v>
      </c>
      <c r="S14" s="13">
        <v>999999</v>
      </c>
    </row>
    <row r="15" spans="1:19" s="15" customFormat="1" ht="13.8">
      <c r="A15" s="10"/>
      <c r="B15" s="10" t="s">
        <v>92</v>
      </c>
      <c r="C15" s="11" t="s">
        <v>68</v>
      </c>
      <c r="D15" s="11" t="s">
        <v>22</v>
      </c>
      <c r="E15" s="11" t="s">
        <v>71</v>
      </c>
      <c r="F15" s="11" t="s">
        <v>74</v>
      </c>
      <c r="G15" s="12">
        <v>16</v>
      </c>
      <c r="H15" s="12">
        <v>20</v>
      </c>
      <c r="I15" s="13">
        <v>3</v>
      </c>
      <c r="J15" s="13">
        <v>1.9E-2</v>
      </c>
      <c r="K15" s="13"/>
      <c r="L15" s="13">
        <v>45</v>
      </c>
      <c r="M15" s="11" t="s">
        <v>82</v>
      </c>
      <c r="N15" s="14"/>
      <c r="O15" s="11"/>
      <c r="P15" s="12"/>
      <c r="Q15" s="12"/>
      <c r="R15" s="13">
        <v>0</v>
      </c>
      <c r="S15" s="13">
        <v>999999</v>
      </c>
    </row>
    <row r="16" spans="1:19" s="15" customFormat="1" ht="13.8">
      <c r="A16" s="10"/>
      <c r="B16" s="10" t="s">
        <v>92</v>
      </c>
      <c r="C16" s="11" t="s">
        <v>67</v>
      </c>
      <c r="D16" s="11" t="s">
        <v>24</v>
      </c>
      <c r="E16" s="11" t="s">
        <v>24</v>
      </c>
      <c r="F16" s="11" t="s">
        <v>73</v>
      </c>
      <c r="G16" s="12">
        <v>0</v>
      </c>
      <c r="H16" s="12">
        <v>10</v>
      </c>
      <c r="I16" s="13">
        <v>3.6999999999999998E-2</v>
      </c>
      <c r="J16" s="13">
        <v>3.6999999999999998E-2</v>
      </c>
      <c r="K16" s="13">
        <v>0.05</v>
      </c>
      <c r="L16" s="13">
        <v>45</v>
      </c>
      <c r="M16" s="11" t="s">
        <v>83</v>
      </c>
      <c r="N16" s="14"/>
      <c r="O16" s="11"/>
      <c r="P16" s="12"/>
      <c r="Q16" s="12"/>
      <c r="R16" s="13">
        <v>0</v>
      </c>
      <c r="S16" s="13">
        <v>999999</v>
      </c>
    </row>
    <row r="17" spans="1:19" s="15" customFormat="1" ht="13.8">
      <c r="A17" s="10"/>
      <c r="B17" s="10" t="s">
        <v>92</v>
      </c>
      <c r="C17" s="11" t="s">
        <v>67</v>
      </c>
      <c r="D17" s="11" t="s">
        <v>24</v>
      </c>
      <c r="E17" s="11" t="s">
        <v>24</v>
      </c>
      <c r="F17" s="11" t="s">
        <v>74</v>
      </c>
      <c r="G17" s="12">
        <v>0</v>
      </c>
      <c r="H17" s="12">
        <v>10</v>
      </c>
      <c r="I17" s="13">
        <v>3.6999999999999998E-2</v>
      </c>
      <c r="J17" s="13">
        <v>3.6999999999999998E-2</v>
      </c>
      <c r="K17" s="13">
        <v>3.6999999999999998E-2</v>
      </c>
      <c r="L17" s="13">
        <v>45</v>
      </c>
      <c r="M17" s="11" t="s">
        <v>83</v>
      </c>
      <c r="N17" s="14"/>
      <c r="O17" s="11"/>
      <c r="P17" s="12"/>
      <c r="Q17" s="12"/>
      <c r="R17" s="13">
        <v>0</v>
      </c>
      <c r="S17" s="13">
        <v>999999</v>
      </c>
    </row>
    <row r="18" spans="1:19" s="15" customFormat="1" ht="13.8">
      <c r="A18" s="10"/>
      <c r="B18" s="10" t="s">
        <v>92</v>
      </c>
      <c r="C18" s="11" t="s">
        <v>68</v>
      </c>
      <c r="D18" s="11" t="s">
        <v>24</v>
      </c>
      <c r="E18" s="11" t="s">
        <v>24</v>
      </c>
      <c r="F18" s="11" t="s">
        <v>73</v>
      </c>
      <c r="G18" s="12">
        <v>0</v>
      </c>
      <c r="H18" s="12">
        <v>10</v>
      </c>
      <c r="I18" s="13">
        <v>3.6999999999999998E-2</v>
      </c>
      <c r="J18" s="13">
        <v>1.9E-2</v>
      </c>
      <c r="K18" s="13">
        <v>0.05</v>
      </c>
      <c r="L18" s="13">
        <v>45</v>
      </c>
      <c r="M18" s="11" t="s">
        <v>83</v>
      </c>
      <c r="N18" s="14"/>
      <c r="O18" s="11"/>
      <c r="P18" s="12"/>
      <c r="Q18" s="12"/>
      <c r="R18" s="13">
        <v>0</v>
      </c>
      <c r="S18" s="13">
        <v>999999</v>
      </c>
    </row>
    <row r="19" spans="1:19" s="15" customFormat="1" ht="13.8">
      <c r="A19" s="10"/>
      <c r="B19" s="10" t="s">
        <v>92</v>
      </c>
      <c r="C19" s="11" t="s">
        <v>68</v>
      </c>
      <c r="D19" s="11" t="s">
        <v>24</v>
      </c>
      <c r="E19" s="11" t="s">
        <v>24</v>
      </c>
      <c r="F19" s="11" t="s">
        <v>74</v>
      </c>
      <c r="G19" s="12">
        <v>0</v>
      </c>
      <c r="H19" s="12">
        <v>10</v>
      </c>
      <c r="I19" s="13">
        <v>3.6999999999999998E-2</v>
      </c>
      <c r="J19" s="13">
        <v>1.9E-2</v>
      </c>
      <c r="K19" s="13">
        <v>3.6999999999999998E-2</v>
      </c>
      <c r="L19" s="13">
        <v>45</v>
      </c>
      <c r="M19" s="11" t="s">
        <v>83</v>
      </c>
      <c r="N19" s="14"/>
      <c r="O19" s="11"/>
      <c r="P19" s="12"/>
      <c r="Q19" s="12"/>
      <c r="R19" s="13">
        <v>0</v>
      </c>
      <c r="S19" s="13">
        <v>999999</v>
      </c>
    </row>
    <row r="20" spans="1:19" s="15" customFormat="1" ht="13.8">
      <c r="A20" s="21"/>
      <c r="B20" s="21" t="s">
        <v>92</v>
      </c>
      <c r="C20" s="22" t="s">
        <v>67</v>
      </c>
      <c r="D20" s="22" t="s">
        <v>33</v>
      </c>
      <c r="E20" s="22" t="s">
        <v>21</v>
      </c>
      <c r="F20" s="22" t="s">
        <v>73</v>
      </c>
      <c r="G20" s="23"/>
      <c r="H20" s="23"/>
      <c r="I20" s="24"/>
      <c r="J20" s="41">
        <v>1.9E-2</v>
      </c>
      <c r="K20" s="24">
        <v>9.5000000000000001E-2</v>
      </c>
      <c r="L20" s="24">
        <v>45</v>
      </c>
      <c r="M20" s="22" t="s">
        <v>83</v>
      </c>
      <c r="N20" s="25">
        <v>450</v>
      </c>
      <c r="O20" s="22"/>
      <c r="P20" s="23"/>
      <c r="Q20" s="23"/>
      <c r="R20" s="24">
        <v>0</v>
      </c>
      <c r="S20" s="24">
        <v>999999</v>
      </c>
    </row>
    <row r="21" spans="1:19" s="15" customFormat="1" ht="13.8">
      <c r="A21" s="21"/>
      <c r="B21" s="21" t="s">
        <v>92</v>
      </c>
      <c r="C21" s="22" t="s">
        <v>67</v>
      </c>
      <c r="D21" s="22" t="s">
        <v>33</v>
      </c>
      <c r="E21" s="22" t="s">
        <v>21</v>
      </c>
      <c r="F21" s="22" t="s">
        <v>74</v>
      </c>
      <c r="G21" s="23"/>
      <c r="H21" s="23"/>
      <c r="I21" s="24"/>
      <c r="J21" s="41">
        <v>1.9E-2</v>
      </c>
      <c r="K21" s="24">
        <v>9.5000000000000001E-2</v>
      </c>
      <c r="L21" s="24">
        <v>45</v>
      </c>
      <c r="M21" s="22" t="s">
        <v>83</v>
      </c>
      <c r="N21" s="25">
        <v>450</v>
      </c>
      <c r="O21" s="22"/>
      <c r="P21" s="23"/>
      <c r="Q21" s="23"/>
      <c r="R21" s="24">
        <v>0</v>
      </c>
      <c r="S21" s="24">
        <v>999999</v>
      </c>
    </row>
    <row r="22" spans="1:19" s="15" customFormat="1" ht="13.8">
      <c r="A22" s="21"/>
      <c r="B22" s="21" t="s">
        <v>92</v>
      </c>
      <c r="C22" s="22" t="s">
        <v>68</v>
      </c>
      <c r="D22" s="22" t="s">
        <v>33</v>
      </c>
      <c r="E22" s="22" t="s">
        <v>21</v>
      </c>
      <c r="F22" s="22" t="s">
        <v>73</v>
      </c>
      <c r="G22" s="23"/>
      <c r="H22" s="23"/>
      <c r="I22" s="24"/>
      <c r="J22" s="41">
        <v>1.9E-2</v>
      </c>
      <c r="K22" s="24">
        <v>9.5000000000000001E-2</v>
      </c>
      <c r="L22" s="24">
        <v>45</v>
      </c>
      <c r="M22" s="22" t="s">
        <v>83</v>
      </c>
      <c r="N22" s="25">
        <v>450</v>
      </c>
      <c r="O22" s="22"/>
      <c r="P22" s="23"/>
      <c r="Q22" s="23"/>
      <c r="R22" s="24">
        <v>0</v>
      </c>
      <c r="S22" s="24">
        <v>999999</v>
      </c>
    </row>
    <row r="23" spans="1:19" s="15" customFormat="1" ht="13.8">
      <c r="A23" s="21"/>
      <c r="B23" s="21" t="s">
        <v>92</v>
      </c>
      <c r="C23" s="22" t="s">
        <v>68</v>
      </c>
      <c r="D23" s="22" t="s">
        <v>33</v>
      </c>
      <c r="E23" s="22" t="s">
        <v>21</v>
      </c>
      <c r="F23" s="22" t="s">
        <v>74</v>
      </c>
      <c r="G23" s="23"/>
      <c r="H23" s="23"/>
      <c r="I23" s="24"/>
      <c r="J23" s="41">
        <v>1.9E-2</v>
      </c>
      <c r="K23" s="24">
        <v>9.5000000000000001E-2</v>
      </c>
      <c r="L23" s="24">
        <v>45</v>
      </c>
      <c r="M23" s="22" t="s">
        <v>83</v>
      </c>
      <c r="N23" s="25">
        <v>450</v>
      </c>
      <c r="O23" s="22"/>
      <c r="P23" s="23"/>
      <c r="Q23" s="23"/>
      <c r="R23" s="24">
        <v>0</v>
      </c>
      <c r="S23" s="24">
        <v>999999</v>
      </c>
    </row>
    <row r="24" spans="1:19" s="15" customFormat="1" ht="13.8">
      <c r="A24" s="10"/>
      <c r="B24" s="10" t="s">
        <v>92</v>
      </c>
      <c r="C24" s="11" t="s">
        <v>67</v>
      </c>
      <c r="D24" s="11" t="s">
        <v>35</v>
      </c>
      <c r="E24" s="11" t="s">
        <v>36</v>
      </c>
      <c r="F24" s="11" t="s">
        <v>73</v>
      </c>
      <c r="G24" s="12">
        <v>0</v>
      </c>
      <c r="H24" s="12">
        <v>20</v>
      </c>
      <c r="I24" s="13">
        <v>4.7500000000000001E-2</v>
      </c>
      <c r="J24" s="13">
        <v>1.9E-2</v>
      </c>
      <c r="K24" s="13">
        <v>4.7500000000000001E-2</v>
      </c>
      <c r="L24" s="13">
        <v>45</v>
      </c>
      <c r="M24" s="11" t="s">
        <v>83</v>
      </c>
      <c r="N24" s="14"/>
      <c r="O24" s="11"/>
      <c r="P24" s="12"/>
      <c r="Q24" s="12"/>
      <c r="R24" s="13">
        <v>0</v>
      </c>
      <c r="S24" s="13">
        <v>999999</v>
      </c>
    </row>
    <row r="25" spans="1:19" s="15" customFormat="1" ht="13.8">
      <c r="A25" s="10"/>
      <c r="B25" s="10" t="s">
        <v>92</v>
      </c>
      <c r="C25" s="11" t="s">
        <v>67</v>
      </c>
      <c r="D25" s="11" t="s">
        <v>35</v>
      </c>
      <c r="E25" s="11" t="s">
        <v>36</v>
      </c>
      <c r="F25" s="11" t="s">
        <v>74</v>
      </c>
      <c r="G25" s="12">
        <v>0</v>
      </c>
      <c r="H25" s="12">
        <v>20</v>
      </c>
      <c r="I25" s="13">
        <v>4.7500000000000001E-2</v>
      </c>
      <c r="J25" s="13">
        <v>1.9E-2</v>
      </c>
      <c r="K25" s="13">
        <v>4.7500000000000001E-2</v>
      </c>
      <c r="L25" s="13">
        <v>45</v>
      </c>
      <c r="M25" s="11" t="s">
        <v>83</v>
      </c>
      <c r="N25" s="14"/>
      <c r="O25" s="11"/>
      <c r="P25" s="12"/>
      <c r="Q25" s="12"/>
      <c r="R25" s="13">
        <v>0</v>
      </c>
      <c r="S25" s="13">
        <v>999999</v>
      </c>
    </row>
    <row r="26" spans="1:19" s="15" customFormat="1" ht="13.8">
      <c r="A26" s="10"/>
      <c r="B26" s="10" t="s">
        <v>92</v>
      </c>
      <c r="C26" s="11" t="s">
        <v>68</v>
      </c>
      <c r="D26" s="11" t="s">
        <v>35</v>
      </c>
      <c r="E26" s="11" t="s">
        <v>36</v>
      </c>
      <c r="F26" s="11" t="s">
        <v>73</v>
      </c>
      <c r="G26" s="12">
        <v>0</v>
      </c>
      <c r="H26" s="12">
        <v>20</v>
      </c>
      <c r="I26" s="13">
        <v>4.7500000000000001E-2</v>
      </c>
      <c r="J26" s="13">
        <v>1.9E-2</v>
      </c>
      <c r="K26" s="13">
        <v>4.7500000000000001E-2</v>
      </c>
      <c r="L26" s="13">
        <v>45</v>
      </c>
      <c r="M26" s="11" t="s">
        <v>83</v>
      </c>
      <c r="N26" s="14"/>
      <c r="O26" s="11"/>
      <c r="P26" s="12"/>
      <c r="Q26" s="12"/>
      <c r="R26" s="13">
        <v>0</v>
      </c>
      <c r="S26" s="13">
        <v>999999</v>
      </c>
    </row>
    <row r="27" spans="1:19" s="15" customFormat="1" ht="13.8">
      <c r="A27" s="10"/>
      <c r="B27" s="10" t="s">
        <v>92</v>
      </c>
      <c r="C27" s="11" t="s">
        <v>68</v>
      </c>
      <c r="D27" s="11" t="s">
        <v>35</v>
      </c>
      <c r="E27" s="11" t="s">
        <v>36</v>
      </c>
      <c r="F27" s="11" t="s">
        <v>74</v>
      </c>
      <c r="G27" s="12">
        <v>0</v>
      </c>
      <c r="H27" s="12">
        <v>20</v>
      </c>
      <c r="I27" s="13">
        <v>4.7500000000000001E-2</v>
      </c>
      <c r="J27" s="13">
        <v>1.9E-2</v>
      </c>
      <c r="K27" s="13">
        <v>4.7500000000000001E-2</v>
      </c>
      <c r="L27" s="13">
        <v>45</v>
      </c>
      <c r="M27" s="11" t="s">
        <v>83</v>
      </c>
      <c r="N27" s="14"/>
      <c r="O27" s="11"/>
      <c r="P27" s="12"/>
      <c r="Q27" s="12"/>
      <c r="R27" s="13">
        <v>0</v>
      </c>
      <c r="S27" s="13">
        <v>999999</v>
      </c>
    </row>
    <row r="28" spans="1:19" s="15" customFormat="1" ht="13.8">
      <c r="A28" s="16"/>
      <c r="B28" s="16" t="s">
        <v>92</v>
      </c>
      <c r="C28" s="17" t="s">
        <v>67</v>
      </c>
      <c r="D28" s="17" t="s">
        <v>31</v>
      </c>
      <c r="E28" s="17" t="s">
        <v>32</v>
      </c>
      <c r="F28" s="17" t="s">
        <v>73</v>
      </c>
      <c r="G28" s="18"/>
      <c r="H28" s="18"/>
      <c r="I28" s="19">
        <v>2.1000000000000001E-2</v>
      </c>
      <c r="J28" s="41">
        <v>1.9E-2</v>
      </c>
      <c r="K28" s="19">
        <v>5.5E-2</v>
      </c>
      <c r="L28" s="19">
        <v>45</v>
      </c>
      <c r="M28" s="17" t="s">
        <v>83</v>
      </c>
      <c r="N28" s="20">
        <v>600</v>
      </c>
      <c r="O28" s="17"/>
      <c r="P28" s="18"/>
      <c r="Q28" s="18"/>
      <c r="R28" s="19">
        <v>0</v>
      </c>
      <c r="S28" s="19">
        <v>999999</v>
      </c>
    </row>
    <row r="29" spans="1:19" s="15" customFormat="1" ht="13.8">
      <c r="A29" s="16"/>
      <c r="B29" s="16" t="s">
        <v>92</v>
      </c>
      <c r="C29" s="17" t="s">
        <v>67</v>
      </c>
      <c r="D29" s="17" t="s">
        <v>31</v>
      </c>
      <c r="E29" s="17" t="s">
        <v>32</v>
      </c>
      <c r="F29" s="17" t="s">
        <v>74</v>
      </c>
      <c r="G29" s="18"/>
      <c r="H29" s="18"/>
      <c r="I29" s="19">
        <v>2.1000000000000001E-2</v>
      </c>
      <c r="J29" s="41">
        <v>1.9E-2</v>
      </c>
      <c r="K29" s="19">
        <v>5.5E-2</v>
      </c>
      <c r="L29" s="19">
        <v>45</v>
      </c>
      <c r="M29" s="17" t="s">
        <v>83</v>
      </c>
      <c r="N29" s="20">
        <v>600</v>
      </c>
      <c r="O29" s="17"/>
      <c r="P29" s="18"/>
      <c r="Q29" s="18"/>
      <c r="R29" s="19">
        <v>0</v>
      </c>
      <c r="S29" s="19">
        <v>999999</v>
      </c>
    </row>
    <row r="30" spans="1:19" s="15" customFormat="1" ht="13.8">
      <c r="A30" s="16"/>
      <c r="B30" s="16" t="s">
        <v>92</v>
      </c>
      <c r="C30" s="17" t="s">
        <v>68</v>
      </c>
      <c r="D30" s="17" t="s">
        <v>31</v>
      </c>
      <c r="E30" s="17" t="s">
        <v>32</v>
      </c>
      <c r="F30" s="17" t="s">
        <v>73</v>
      </c>
      <c r="G30" s="18"/>
      <c r="H30" s="18"/>
      <c r="I30" s="19">
        <v>2.1000000000000001E-2</v>
      </c>
      <c r="J30" s="41">
        <v>1.9E-2</v>
      </c>
      <c r="K30" s="19">
        <v>5.5E-2</v>
      </c>
      <c r="L30" s="19">
        <v>45</v>
      </c>
      <c r="M30" s="17" t="s">
        <v>83</v>
      </c>
      <c r="N30" s="20">
        <v>600</v>
      </c>
      <c r="O30" s="17"/>
      <c r="P30" s="18"/>
      <c r="Q30" s="18"/>
      <c r="R30" s="19">
        <v>0</v>
      </c>
      <c r="S30" s="19">
        <v>999999</v>
      </c>
    </row>
    <row r="31" spans="1:19" s="15" customFormat="1" ht="13.8">
      <c r="A31" s="16"/>
      <c r="B31" s="16" t="s">
        <v>92</v>
      </c>
      <c r="C31" s="17" t="s">
        <v>68</v>
      </c>
      <c r="D31" s="17" t="s">
        <v>31</v>
      </c>
      <c r="E31" s="17" t="s">
        <v>32</v>
      </c>
      <c r="F31" s="17" t="s">
        <v>74</v>
      </c>
      <c r="G31" s="18"/>
      <c r="H31" s="18"/>
      <c r="I31" s="19">
        <v>2.1000000000000001E-2</v>
      </c>
      <c r="J31" s="41">
        <v>1.9E-2</v>
      </c>
      <c r="K31" s="19">
        <v>5.5E-2</v>
      </c>
      <c r="L31" s="19">
        <v>45</v>
      </c>
      <c r="M31" s="17" t="s">
        <v>83</v>
      </c>
      <c r="N31" s="20">
        <v>600</v>
      </c>
      <c r="O31" s="17"/>
      <c r="P31" s="18"/>
      <c r="Q31" s="18"/>
      <c r="R31" s="19">
        <v>0</v>
      </c>
      <c r="S31" s="19">
        <v>999999</v>
      </c>
    </row>
    <row r="32" spans="1:19" s="15" customFormat="1" ht="13.8">
      <c r="A32" s="26"/>
      <c r="B32" s="26" t="s">
        <v>92</v>
      </c>
      <c r="C32" s="27" t="s">
        <v>67</v>
      </c>
      <c r="D32" s="27" t="s">
        <v>20</v>
      </c>
      <c r="E32" s="27" t="s">
        <v>21</v>
      </c>
      <c r="F32" s="27" t="s">
        <v>73</v>
      </c>
      <c r="G32" s="28"/>
      <c r="H32" s="28"/>
      <c r="I32" s="29"/>
      <c r="J32" s="41">
        <v>1.9E-2</v>
      </c>
      <c r="K32" s="29">
        <v>0.1</v>
      </c>
      <c r="L32" s="29">
        <v>45</v>
      </c>
      <c r="M32" s="27" t="s">
        <v>83</v>
      </c>
      <c r="N32" s="30">
        <v>450</v>
      </c>
      <c r="O32" s="27"/>
      <c r="P32" s="28"/>
      <c r="Q32" s="28"/>
      <c r="R32" s="29">
        <v>0</v>
      </c>
      <c r="S32" s="29">
        <v>999999</v>
      </c>
    </row>
    <row r="33" spans="1:19" s="15" customFormat="1" ht="13.8">
      <c r="A33" s="26"/>
      <c r="B33" s="26" t="s">
        <v>92</v>
      </c>
      <c r="C33" s="27" t="s">
        <v>67</v>
      </c>
      <c r="D33" s="27" t="s">
        <v>20</v>
      </c>
      <c r="E33" s="27" t="s">
        <v>21</v>
      </c>
      <c r="F33" s="27" t="s">
        <v>74</v>
      </c>
      <c r="G33" s="28"/>
      <c r="H33" s="28"/>
      <c r="I33" s="29"/>
      <c r="J33" s="41">
        <v>1.9E-2</v>
      </c>
      <c r="K33" s="29">
        <v>0.1</v>
      </c>
      <c r="L33" s="29">
        <v>45</v>
      </c>
      <c r="M33" s="27" t="s">
        <v>83</v>
      </c>
      <c r="N33" s="30">
        <v>450</v>
      </c>
      <c r="O33" s="27"/>
      <c r="P33" s="28"/>
      <c r="Q33" s="28"/>
      <c r="R33" s="29">
        <v>0</v>
      </c>
      <c r="S33" s="29">
        <v>999999</v>
      </c>
    </row>
    <row r="34" spans="1:19" s="15" customFormat="1" ht="13.8">
      <c r="A34" s="26"/>
      <c r="B34" s="26" t="s">
        <v>92</v>
      </c>
      <c r="C34" s="27" t="s">
        <v>68</v>
      </c>
      <c r="D34" s="27" t="s">
        <v>20</v>
      </c>
      <c r="E34" s="27" t="s">
        <v>21</v>
      </c>
      <c r="F34" s="27" t="s">
        <v>73</v>
      </c>
      <c r="G34" s="28"/>
      <c r="H34" s="28"/>
      <c r="I34" s="29"/>
      <c r="J34" s="41">
        <v>1.9E-2</v>
      </c>
      <c r="K34" s="29">
        <v>0.1</v>
      </c>
      <c r="L34" s="29">
        <v>45</v>
      </c>
      <c r="M34" s="27" t="s">
        <v>83</v>
      </c>
      <c r="N34" s="30">
        <v>450</v>
      </c>
      <c r="O34" s="27"/>
      <c r="P34" s="28"/>
      <c r="Q34" s="28"/>
      <c r="R34" s="29">
        <v>0</v>
      </c>
      <c r="S34" s="29">
        <v>999999</v>
      </c>
    </row>
    <row r="35" spans="1:19" s="15" customFormat="1" ht="13.8">
      <c r="A35" s="26"/>
      <c r="B35" s="26" t="s">
        <v>92</v>
      </c>
      <c r="C35" s="27" t="s">
        <v>68</v>
      </c>
      <c r="D35" s="27" t="s">
        <v>20</v>
      </c>
      <c r="E35" s="27" t="s">
        <v>21</v>
      </c>
      <c r="F35" s="27" t="s">
        <v>74</v>
      </c>
      <c r="G35" s="28"/>
      <c r="H35" s="28"/>
      <c r="I35" s="29"/>
      <c r="J35" s="41">
        <v>1.9E-2</v>
      </c>
      <c r="K35" s="29">
        <v>0.1</v>
      </c>
      <c r="L35" s="29">
        <v>45</v>
      </c>
      <c r="M35" s="27" t="s">
        <v>83</v>
      </c>
      <c r="N35" s="30">
        <v>450</v>
      </c>
      <c r="O35" s="27"/>
      <c r="P35" s="28"/>
      <c r="Q35" s="28"/>
      <c r="R35" s="29">
        <v>0</v>
      </c>
      <c r="S35" s="29">
        <v>999999</v>
      </c>
    </row>
    <row r="36" spans="1:19" s="15" customFormat="1" ht="13.8">
      <c r="A36" s="31"/>
      <c r="B36" s="31" t="s">
        <v>92</v>
      </c>
      <c r="C36" s="32" t="s">
        <v>67</v>
      </c>
      <c r="D36" s="32" t="s">
        <v>27</v>
      </c>
      <c r="E36" s="32" t="s">
        <v>28</v>
      </c>
      <c r="F36" s="32" t="s">
        <v>73</v>
      </c>
      <c r="G36" s="33"/>
      <c r="H36" s="33"/>
      <c r="I36" s="34">
        <v>2.5899999999999999E-2</v>
      </c>
      <c r="J36" s="41">
        <v>1.9E-2</v>
      </c>
      <c r="K36" s="34">
        <v>5.5E-2</v>
      </c>
      <c r="L36" s="34">
        <v>45</v>
      </c>
      <c r="M36" s="32" t="s">
        <v>83</v>
      </c>
      <c r="N36" s="35">
        <v>450</v>
      </c>
      <c r="O36" s="32" t="s">
        <v>86</v>
      </c>
      <c r="P36" s="33">
        <v>41</v>
      </c>
      <c r="Q36" s="33">
        <v>999</v>
      </c>
      <c r="R36" s="34">
        <v>0</v>
      </c>
      <c r="S36" s="34">
        <v>999999</v>
      </c>
    </row>
    <row r="37" spans="1:19" s="15" customFormat="1" ht="13.8">
      <c r="A37" s="31"/>
      <c r="B37" s="31" t="s">
        <v>92</v>
      </c>
      <c r="C37" s="32" t="s">
        <v>67</v>
      </c>
      <c r="D37" s="32" t="s">
        <v>27</v>
      </c>
      <c r="E37" s="32" t="s">
        <v>28</v>
      </c>
      <c r="F37" s="32" t="s">
        <v>74</v>
      </c>
      <c r="G37" s="33"/>
      <c r="H37" s="33"/>
      <c r="I37" s="34">
        <v>2.5899999999999999E-2</v>
      </c>
      <c r="J37" s="41">
        <v>1.9E-2</v>
      </c>
      <c r="K37" s="34">
        <v>3.5000000000000003E-2</v>
      </c>
      <c r="L37" s="34">
        <v>45</v>
      </c>
      <c r="M37" s="32" t="s">
        <v>83</v>
      </c>
      <c r="N37" s="35">
        <v>450</v>
      </c>
      <c r="O37" s="32" t="s">
        <v>86</v>
      </c>
      <c r="P37" s="33">
        <v>41</v>
      </c>
      <c r="Q37" s="33">
        <v>999</v>
      </c>
      <c r="R37" s="34">
        <v>0</v>
      </c>
      <c r="S37" s="34">
        <v>999999</v>
      </c>
    </row>
    <row r="38" spans="1:19" s="15" customFormat="1" ht="13.8">
      <c r="A38" s="31"/>
      <c r="B38" s="31" t="s">
        <v>92</v>
      </c>
      <c r="C38" s="32" t="s">
        <v>67</v>
      </c>
      <c r="D38" s="32" t="s">
        <v>27</v>
      </c>
      <c r="E38" s="32" t="s">
        <v>28</v>
      </c>
      <c r="F38" s="32" t="s">
        <v>73</v>
      </c>
      <c r="G38" s="33"/>
      <c r="H38" s="33"/>
      <c r="I38" s="34">
        <v>2.8000000000000001E-2</v>
      </c>
      <c r="J38" s="41">
        <v>1.9E-2</v>
      </c>
      <c r="K38" s="34">
        <v>5.5E-2</v>
      </c>
      <c r="L38" s="34">
        <v>45</v>
      </c>
      <c r="M38" s="32" t="s">
        <v>83</v>
      </c>
      <c r="N38" s="35">
        <v>450</v>
      </c>
      <c r="O38" s="32"/>
      <c r="P38" s="33"/>
      <c r="Q38" s="33"/>
      <c r="R38" s="34">
        <v>0</v>
      </c>
      <c r="S38" s="34">
        <v>999999</v>
      </c>
    </row>
    <row r="39" spans="1:19" s="15" customFormat="1" ht="13.8">
      <c r="A39" s="31"/>
      <c r="B39" s="31" t="s">
        <v>92</v>
      </c>
      <c r="C39" s="32" t="s">
        <v>67</v>
      </c>
      <c r="D39" s="32" t="s">
        <v>27</v>
      </c>
      <c r="E39" s="32" t="s">
        <v>28</v>
      </c>
      <c r="F39" s="32" t="s">
        <v>74</v>
      </c>
      <c r="G39" s="33"/>
      <c r="H39" s="33"/>
      <c r="I39" s="34">
        <v>2.8000000000000001E-2</v>
      </c>
      <c r="J39" s="41">
        <v>1.9E-2</v>
      </c>
      <c r="K39" s="34">
        <v>3.5000000000000003E-2</v>
      </c>
      <c r="L39" s="34">
        <v>45</v>
      </c>
      <c r="M39" s="32" t="s">
        <v>83</v>
      </c>
      <c r="N39" s="35">
        <v>450</v>
      </c>
      <c r="O39" s="32"/>
      <c r="P39" s="33"/>
      <c r="Q39" s="33"/>
      <c r="R39" s="34">
        <v>0</v>
      </c>
      <c r="S39" s="34">
        <v>999999</v>
      </c>
    </row>
    <row r="40" spans="1:19" s="15" customFormat="1" ht="13.8">
      <c r="A40" s="31"/>
      <c r="B40" s="31" t="s">
        <v>92</v>
      </c>
      <c r="C40" s="32" t="s">
        <v>68</v>
      </c>
      <c r="D40" s="32" t="s">
        <v>27</v>
      </c>
      <c r="E40" s="32" t="s">
        <v>28</v>
      </c>
      <c r="F40" s="32" t="s">
        <v>73</v>
      </c>
      <c r="G40" s="33"/>
      <c r="H40" s="33"/>
      <c r="I40" s="34">
        <v>2.5899999999999999E-2</v>
      </c>
      <c r="J40" s="41">
        <v>1.9E-2</v>
      </c>
      <c r="K40" s="34">
        <v>5.5E-2</v>
      </c>
      <c r="L40" s="34">
        <v>45</v>
      </c>
      <c r="M40" s="32" t="s">
        <v>83</v>
      </c>
      <c r="N40" s="35">
        <v>450</v>
      </c>
      <c r="O40" s="32" t="s">
        <v>86</v>
      </c>
      <c r="P40" s="33">
        <v>41</v>
      </c>
      <c r="Q40" s="33">
        <v>999</v>
      </c>
      <c r="R40" s="34">
        <v>0</v>
      </c>
      <c r="S40" s="34">
        <v>999999</v>
      </c>
    </row>
    <row r="41" spans="1:19" s="15" customFormat="1" ht="13.8">
      <c r="A41" s="31"/>
      <c r="B41" s="31" t="s">
        <v>92</v>
      </c>
      <c r="C41" s="32" t="s">
        <v>68</v>
      </c>
      <c r="D41" s="32" t="s">
        <v>27</v>
      </c>
      <c r="E41" s="32" t="s">
        <v>28</v>
      </c>
      <c r="F41" s="32" t="s">
        <v>74</v>
      </c>
      <c r="G41" s="33"/>
      <c r="H41" s="33"/>
      <c r="I41" s="34">
        <v>2.5899999999999999E-2</v>
      </c>
      <c r="J41" s="41">
        <v>1.9E-2</v>
      </c>
      <c r="K41" s="34">
        <v>5.5E-2</v>
      </c>
      <c r="L41" s="34">
        <v>45</v>
      </c>
      <c r="M41" s="32" t="s">
        <v>83</v>
      </c>
      <c r="N41" s="35">
        <v>450</v>
      </c>
      <c r="O41" s="32" t="s">
        <v>86</v>
      </c>
      <c r="P41" s="33">
        <v>41</v>
      </c>
      <c r="Q41" s="33">
        <v>999</v>
      </c>
      <c r="R41" s="34">
        <v>0</v>
      </c>
      <c r="S41" s="34">
        <v>999999</v>
      </c>
    </row>
    <row r="42" spans="1:19" s="15" customFormat="1" ht="13.8">
      <c r="A42" s="31"/>
      <c r="B42" s="31" t="s">
        <v>92</v>
      </c>
      <c r="C42" s="32" t="s">
        <v>68</v>
      </c>
      <c r="D42" s="32" t="s">
        <v>27</v>
      </c>
      <c r="E42" s="32" t="s">
        <v>28</v>
      </c>
      <c r="F42" s="32" t="s">
        <v>73</v>
      </c>
      <c r="G42" s="33"/>
      <c r="H42" s="33"/>
      <c r="I42" s="34">
        <v>2.8000000000000001E-2</v>
      </c>
      <c r="J42" s="41">
        <v>1.9E-2</v>
      </c>
      <c r="K42" s="34">
        <v>5.5E-2</v>
      </c>
      <c r="L42" s="34">
        <v>45</v>
      </c>
      <c r="M42" s="32" t="s">
        <v>83</v>
      </c>
      <c r="N42" s="35">
        <v>450</v>
      </c>
      <c r="O42" s="32"/>
      <c r="P42" s="33"/>
      <c r="Q42" s="33"/>
      <c r="R42" s="34">
        <v>0</v>
      </c>
      <c r="S42" s="34">
        <v>999999</v>
      </c>
    </row>
    <row r="43" spans="1:19" s="15" customFormat="1" ht="13.8">
      <c r="A43" s="31"/>
      <c r="B43" s="31" t="s">
        <v>92</v>
      </c>
      <c r="C43" s="32" t="s">
        <v>68</v>
      </c>
      <c r="D43" s="32" t="s">
        <v>27</v>
      </c>
      <c r="E43" s="32" t="s">
        <v>28</v>
      </c>
      <c r="F43" s="32" t="s">
        <v>74</v>
      </c>
      <c r="G43" s="33"/>
      <c r="H43" s="33"/>
      <c r="I43" s="34">
        <v>2.8000000000000001E-2</v>
      </c>
      <c r="J43" s="41">
        <v>1.9E-2</v>
      </c>
      <c r="K43" s="34">
        <v>5.5E-2</v>
      </c>
      <c r="L43" s="34">
        <v>45</v>
      </c>
      <c r="M43" s="32" t="s">
        <v>83</v>
      </c>
      <c r="N43" s="35">
        <v>450</v>
      </c>
      <c r="O43" s="32"/>
      <c r="P43" s="33"/>
      <c r="Q43" s="33"/>
      <c r="R43" s="34">
        <v>0</v>
      </c>
      <c r="S43" s="34">
        <v>999999</v>
      </c>
    </row>
    <row r="44" spans="1:19" s="15" customFormat="1" ht="13.8">
      <c r="A44" s="36"/>
      <c r="B44" s="36" t="s">
        <v>92</v>
      </c>
      <c r="C44" s="37" t="s">
        <v>67</v>
      </c>
      <c r="D44" s="37" t="s">
        <v>25</v>
      </c>
      <c r="E44" s="37" t="s">
        <v>26</v>
      </c>
      <c r="F44" s="37" t="s">
        <v>73</v>
      </c>
      <c r="G44" s="38"/>
      <c r="H44" s="38"/>
      <c r="I44" s="39">
        <v>2.1999999999999999E-2</v>
      </c>
      <c r="J44" s="41">
        <v>1.9E-2</v>
      </c>
      <c r="K44" s="39">
        <v>5.5E-2</v>
      </c>
      <c r="L44" s="39">
        <v>45</v>
      </c>
      <c r="M44" s="37" t="s">
        <v>83</v>
      </c>
      <c r="N44" s="40">
        <v>450</v>
      </c>
      <c r="O44" s="37" t="s">
        <v>86</v>
      </c>
      <c r="P44" s="38">
        <v>41</v>
      </c>
      <c r="Q44" s="38">
        <v>999</v>
      </c>
      <c r="R44" s="39">
        <v>0</v>
      </c>
      <c r="S44" s="39">
        <v>999999</v>
      </c>
    </row>
    <row r="45" spans="1:19" s="15" customFormat="1" ht="13.8">
      <c r="A45" s="36"/>
      <c r="B45" s="36" t="s">
        <v>92</v>
      </c>
      <c r="C45" s="37" t="s">
        <v>67</v>
      </c>
      <c r="D45" s="37" t="s">
        <v>25</v>
      </c>
      <c r="E45" s="37" t="s">
        <v>26</v>
      </c>
      <c r="F45" s="37" t="s">
        <v>74</v>
      </c>
      <c r="G45" s="38"/>
      <c r="H45" s="38"/>
      <c r="I45" s="39">
        <v>2.1999999999999999E-2</v>
      </c>
      <c r="J45" s="41">
        <v>1.9E-2</v>
      </c>
      <c r="K45" s="39">
        <v>3.5000000000000003E-2</v>
      </c>
      <c r="L45" s="39">
        <v>45</v>
      </c>
      <c r="M45" s="37" t="s">
        <v>83</v>
      </c>
      <c r="N45" s="40">
        <v>450</v>
      </c>
      <c r="O45" s="37" t="s">
        <v>86</v>
      </c>
      <c r="P45" s="38">
        <v>41</v>
      </c>
      <c r="Q45" s="38">
        <v>999</v>
      </c>
      <c r="R45" s="39">
        <v>0</v>
      </c>
      <c r="S45" s="39">
        <v>999999</v>
      </c>
    </row>
    <row r="46" spans="1:19" s="15" customFormat="1" ht="13.8">
      <c r="A46" s="36"/>
      <c r="B46" s="36" t="s">
        <v>92</v>
      </c>
      <c r="C46" s="37" t="s">
        <v>67</v>
      </c>
      <c r="D46" s="37" t="s">
        <v>25</v>
      </c>
      <c r="E46" s="37" t="s">
        <v>26</v>
      </c>
      <c r="F46" s="37" t="s">
        <v>73</v>
      </c>
      <c r="G46" s="38"/>
      <c r="H46" s="38"/>
      <c r="I46" s="39">
        <v>2.4500000000000001E-2</v>
      </c>
      <c r="J46" s="41">
        <v>1.9E-2</v>
      </c>
      <c r="K46" s="39">
        <v>5.5E-2</v>
      </c>
      <c r="L46" s="39">
        <v>45</v>
      </c>
      <c r="M46" s="37" t="s">
        <v>83</v>
      </c>
      <c r="N46" s="40">
        <v>450</v>
      </c>
      <c r="O46" s="37"/>
      <c r="P46" s="38"/>
      <c r="Q46" s="38"/>
      <c r="R46" s="39">
        <v>0</v>
      </c>
      <c r="S46" s="39">
        <v>999999</v>
      </c>
    </row>
    <row r="47" spans="1:19" s="15" customFormat="1" ht="13.8">
      <c r="A47" s="36"/>
      <c r="B47" s="36" t="s">
        <v>92</v>
      </c>
      <c r="C47" s="37" t="s">
        <v>67</v>
      </c>
      <c r="D47" s="37" t="s">
        <v>25</v>
      </c>
      <c r="E47" s="37" t="s">
        <v>26</v>
      </c>
      <c r="F47" s="37" t="s">
        <v>74</v>
      </c>
      <c r="G47" s="38"/>
      <c r="H47" s="38"/>
      <c r="I47" s="39">
        <v>2.4500000000000001E-2</v>
      </c>
      <c r="J47" s="41">
        <v>1.9E-2</v>
      </c>
      <c r="K47" s="39">
        <v>3.5000000000000003E-2</v>
      </c>
      <c r="L47" s="39">
        <v>45</v>
      </c>
      <c r="M47" s="37" t="s">
        <v>83</v>
      </c>
      <c r="N47" s="40">
        <v>450</v>
      </c>
      <c r="O47" s="37"/>
      <c r="P47" s="38"/>
      <c r="Q47" s="38"/>
      <c r="R47" s="39">
        <v>0</v>
      </c>
      <c r="S47" s="39">
        <v>999999</v>
      </c>
    </row>
    <row r="48" spans="1:19" s="15" customFormat="1" ht="13.8">
      <c r="A48" s="36"/>
      <c r="B48" s="36" t="s">
        <v>92</v>
      </c>
      <c r="C48" s="37" t="s">
        <v>68</v>
      </c>
      <c r="D48" s="37" t="s">
        <v>25</v>
      </c>
      <c r="E48" s="37" t="s">
        <v>26</v>
      </c>
      <c r="F48" s="37" t="s">
        <v>73</v>
      </c>
      <c r="G48" s="38"/>
      <c r="H48" s="38"/>
      <c r="I48" s="39">
        <v>2.1999999999999999E-2</v>
      </c>
      <c r="J48" s="41">
        <v>1.9E-2</v>
      </c>
      <c r="K48" s="39">
        <v>5.5E-2</v>
      </c>
      <c r="L48" s="39">
        <v>45</v>
      </c>
      <c r="M48" s="37" t="s">
        <v>83</v>
      </c>
      <c r="N48" s="40">
        <v>450</v>
      </c>
      <c r="O48" s="37" t="s">
        <v>86</v>
      </c>
      <c r="P48" s="38">
        <v>41</v>
      </c>
      <c r="Q48" s="38">
        <v>999</v>
      </c>
      <c r="R48" s="39">
        <v>0</v>
      </c>
      <c r="S48" s="39">
        <v>999999</v>
      </c>
    </row>
    <row r="49" spans="1:19" s="15" customFormat="1" ht="13.8">
      <c r="A49" s="36"/>
      <c r="B49" s="36" t="s">
        <v>92</v>
      </c>
      <c r="C49" s="37" t="s">
        <v>68</v>
      </c>
      <c r="D49" s="37" t="s">
        <v>25</v>
      </c>
      <c r="E49" s="37" t="s">
        <v>26</v>
      </c>
      <c r="F49" s="37" t="s">
        <v>74</v>
      </c>
      <c r="G49" s="38"/>
      <c r="H49" s="38"/>
      <c r="I49" s="39">
        <v>2.1999999999999999E-2</v>
      </c>
      <c r="J49" s="41">
        <v>1.9E-2</v>
      </c>
      <c r="K49" s="39">
        <v>5.5E-2</v>
      </c>
      <c r="L49" s="39">
        <v>45</v>
      </c>
      <c r="M49" s="37" t="s">
        <v>83</v>
      </c>
      <c r="N49" s="40">
        <v>450</v>
      </c>
      <c r="O49" s="37" t="s">
        <v>86</v>
      </c>
      <c r="P49" s="38">
        <v>41</v>
      </c>
      <c r="Q49" s="38">
        <v>999</v>
      </c>
      <c r="R49" s="39">
        <v>0</v>
      </c>
      <c r="S49" s="39">
        <v>999999</v>
      </c>
    </row>
    <row r="50" spans="1:19" s="15" customFormat="1" ht="13.8">
      <c r="A50" s="36"/>
      <c r="B50" s="36" t="s">
        <v>92</v>
      </c>
      <c r="C50" s="37" t="s">
        <v>68</v>
      </c>
      <c r="D50" s="37" t="s">
        <v>25</v>
      </c>
      <c r="E50" s="37" t="s">
        <v>26</v>
      </c>
      <c r="F50" s="37" t="s">
        <v>73</v>
      </c>
      <c r="G50" s="38"/>
      <c r="H50" s="38"/>
      <c r="I50" s="39">
        <v>2.4500000000000001E-2</v>
      </c>
      <c r="J50" s="41">
        <v>1.9E-2</v>
      </c>
      <c r="K50" s="39">
        <v>5.5E-2</v>
      </c>
      <c r="L50" s="39">
        <v>45</v>
      </c>
      <c r="M50" s="37" t="s">
        <v>83</v>
      </c>
      <c r="N50" s="40">
        <v>450</v>
      </c>
      <c r="O50" s="37"/>
      <c r="P50" s="38"/>
      <c r="Q50" s="38"/>
      <c r="R50" s="39">
        <v>0</v>
      </c>
      <c r="S50" s="39">
        <v>999999</v>
      </c>
    </row>
    <row r="51" spans="1:19" s="15" customFormat="1" ht="13.8">
      <c r="A51" s="36"/>
      <c r="B51" s="36" t="s">
        <v>92</v>
      </c>
      <c r="C51" s="37" t="s">
        <v>68</v>
      </c>
      <c r="D51" s="37" t="s">
        <v>25</v>
      </c>
      <c r="E51" s="37" t="s">
        <v>26</v>
      </c>
      <c r="F51" s="37" t="s">
        <v>74</v>
      </c>
      <c r="G51" s="38"/>
      <c r="H51" s="38"/>
      <c r="I51" s="39">
        <v>2.4500000000000001E-2</v>
      </c>
      <c r="J51" s="41">
        <v>1.9E-2</v>
      </c>
      <c r="K51" s="39">
        <v>5.5E-2</v>
      </c>
      <c r="L51" s="39">
        <v>45</v>
      </c>
      <c r="M51" s="37" t="s">
        <v>83</v>
      </c>
      <c r="N51" s="40">
        <v>450</v>
      </c>
      <c r="O51" s="37"/>
      <c r="P51" s="38"/>
      <c r="Q51" s="38"/>
      <c r="R51" s="39">
        <v>0</v>
      </c>
      <c r="S51" s="39">
        <v>999999</v>
      </c>
    </row>
    <row r="52" spans="1:19" s="15" customFormat="1" ht="12.75" customHeight="1">
      <c r="A52" s="10"/>
      <c r="B52" s="10"/>
      <c r="C52" s="11"/>
      <c r="D52" s="11"/>
      <c r="E52" s="11"/>
      <c r="F52" s="11"/>
      <c r="G52" s="12"/>
      <c r="H52" s="12"/>
      <c r="I52" s="13"/>
      <c r="J52" s="13"/>
      <c r="K52" s="13"/>
      <c r="L52" s="13"/>
      <c r="M52" s="11"/>
      <c r="N52" s="14"/>
      <c r="O52" s="11"/>
      <c r="P52" s="12"/>
      <c r="Q52" s="12"/>
      <c r="R52" s="13"/>
      <c r="S52" s="13"/>
    </row>
  </sheetData>
  <phoneticPr fontId="4" type="noConversion"/>
  <conditionalFormatting sqref="D2:D51">
    <cfRule type="expression" dxfId="22" priority="2">
      <formula>ISBLANK($D2)</formula>
    </cfRule>
  </conditionalFormatting>
  <dataValidations count="1">
    <dataValidation type="list" allowBlank="1" sqref="D2:D51" xr:uid="{00000000-0002-0000-0200-000001000000}">
      <formula1>LOV_VehiclePlan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4"/>
  <sheetViews>
    <sheetView workbookViewId="0"/>
  </sheetViews>
  <sheetFormatPr defaultColWidth="9" defaultRowHeight="10.199999999999999"/>
  <cols>
    <col min="1" max="1" width="18.19921875" style="1" bestFit="1" customWidth="1"/>
    <col min="2" max="2" width="21.59765625" style="1" bestFit="1" customWidth="1"/>
    <col min="3" max="3" width="15.5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0</v>
      </c>
      <c r="B2" s="2" t="s">
        <v>3</v>
      </c>
      <c r="C2" s="2" t="s">
        <v>4</v>
      </c>
    </row>
    <row r="3" spans="1:3">
      <c r="A3" s="2" t="s">
        <v>5</v>
      </c>
      <c r="B3" s="2" t="s">
        <v>6</v>
      </c>
      <c r="C3" s="2" t="s">
        <v>7</v>
      </c>
    </row>
    <row r="4" spans="1:3">
      <c r="A4" s="2" t="s">
        <v>5</v>
      </c>
      <c r="B4" s="2" t="s">
        <v>8</v>
      </c>
      <c r="C4" s="2" t="s">
        <v>8</v>
      </c>
    </row>
    <row r="5" spans="1:3">
      <c r="A5" s="2" t="s">
        <v>5</v>
      </c>
      <c r="B5" s="2" t="s">
        <v>9</v>
      </c>
      <c r="C5" s="2" t="s">
        <v>10</v>
      </c>
    </row>
    <row r="6" spans="1:3">
      <c r="A6" s="2" t="s">
        <v>5</v>
      </c>
      <c r="B6" s="2" t="s">
        <v>11</v>
      </c>
      <c r="C6" s="2" t="s">
        <v>11</v>
      </c>
    </row>
    <row r="7" spans="1:3">
      <c r="A7" s="2" t="s">
        <v>5</v>
      </c>
      <c r="B7" s="2" t="s">
        <v>12</v>
      </c>
      <c r="C7" s="2" t="s">
        <v>13</v>
      </c>
    </row>
    <row r="8" spans="1:3">
      <c r="A8" s="2" t="s">
        <v>5</v>
      </c>
      <c r="B8" s="2" t="s">
        <v>14</v>
      </c>
      <c r="C8" s="2" t="s">
        <v>15</v>
      </c>
    </row>
    <row r="9" spans="1:3">
      <c r="A9" s="2" t="s">
        <v>5</v>
      </c>
      <c r="B9" s="2" t="s">
        <v>16</v>
      </c>
      <c r="C9" s="2" t="s">
        <v>16</v>
      </c>
    </row>
    <row r="10" spans="1:3">
      <c r="A10" s="2" t="s">
        <v>17</v>
      </c>
      <c r="B10" s="2" t="s">
        <v>18</v>
      </c>
      <c r="C10" s="2" t="s">
        <v>19</v>
      </c>
    </row>
    <row r="11" spans="1:3">
      <c r="A11" s="2" t="s">
        <v>17</v>
      </c>
      <c r="B11" s="2" t="s">
        <v>20</v>
      </c>
      <c r="C11" s="2" t="s">
        <v>21</v>
      </c>
    </row>
    <row r="12" spans="1:3">
      <c r="A12" s="2" t="s">
        <v>17</v>
      </c>
      <c r="B12" s="2" t="s">
        <v>22</v>
      </c>
      <c r="C12" s="2" t="s">
        <v>23</v>
      </c>
    </row>
    <row r="13" spans="1:3">
      <c r="A13" s="2" t="s">
        <v>17</v>
      </c>
      <c r="B13" s="2" t="s">
        <v>24</v>
      </c>
      <c r="C13" s="2" t="s">
        <v>24</v>
      </c>
    </row>
    <row r="14" spans="1:3">
      <c r="A14" s="2" t="s">
        <v>17</v>
      </c>
      <c r="B14" s="2" t="s">
        <v>25</v>
      </c>
      <c r="C14" s="2" t="s">
        <v>26</v>
      </c>
    </row>
    <row r="15" spans="1:3">
      <c r="A15" s="2" t="s">
        <v>17</v>
      </c>
      <c r="B15" s="2" t="s">
        <v>27</v>
      </c>
      <c r="C15" s="2" t="s">
        <v>28</v>
      </c>
    </row>
    <row r="16" spans="1:3">
      <c r="A16" s="2" t="s">
        <v>17</v>
      </c>
      <c r="B16" s="2" t="s">
        <v>29</v>
      </c>
      <c r="C16" s="2" t="s">
        <v>30</v>
      </c>
    </row>
    <row r="17" spans="1:3">
      <c r="A17" s="2" t="s">
        <v>17</v>
      </c>
      <c r="B17" s="2" t="s">
        <v>31</v>
      </c>
      <c r="C17" s="2" t="s">
        <v>32</v>
      </c>
    </row>
    <row r="18" spans="1:3">
      <c r="A18" s="2" t="s">
        <v>17</v>
      </c>
      <c r="B18" s="2" t="s">
        <v>33</v>
      </c>
      <c r="C18" s="2" t="s">
        <v>34</v>
      </c>
    </row>
    <row r="19" spans="1:3">
      <c r="A19" s="2" t="s">
        <v>17</v>
      </c>
      <c r="B19" s="2" t="s">
        <v>35</v>
      </c>
      <c r="C19" s="2" t="s">
        <v>36</v>
      </c>
    </row>
    <row r="20" spans="1:3">
      <c r="A20" s="2" t="s">
        <v>17</v>
      </c>
      <c r="B20" s="2" t="s">
        <v>37</v>
      </c>
      <c r="C20" s="2" t="s">
        <v>38</v>
      </c>
    </row>
    <row r="21" spans="1:3">
      <c r="A21" s="2" t="s">
        <v>39</v>
      </c>
      <c r="B21" s="2" t="s">
        <v>40</v>
      </c>
      <c r="C21" s="2" t="s">
        <v>41</v>
      </c>
    </row>
    <row r="22" spans="1:3">
      <c r="A22" s="2" t="s">
        <v>39</v>
      </c>
      <c r="B22" s="2" t="s">
        <v>42</v>
      </c>
      <c r="C22" s="2" t="s">
        <v>43</v>
      </c>
    </row>
    <row r="23" spans="1:3">
      <c r="A23" s="2" t="s">
        <v>39</v>
      </c>
      <c r="B23" s="2" t="s">
        <v>44</v>
      </c>
      <c r="C23" s="2" t="s">
        <v>45</v>
      </c>
    </row>
    <row r="24" spans="1:3">
      <c r="A24" s="2" t="s">
        <v>46</v>
      </c>
      <c r="B24" s="2" t="s">
        <v>47</v>
      </c>
      <c r="C24" s="2" t="s">
        <v>48</v>
      </c>
    </row>
    <row r="25" spans="1:3">
      <c r="A25" s="2" t="s">
        <v>46</v>
      </c>
      <c r="B25" s="2" t="s">
        <v>49</v>
      </c>
      <c r="C25" s="2" t="s">
        <v>50</v>
      </c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C92" s="2"/>
    </row>
    <row r="93" spans="1:3">
      <c r="C93" s="2"/>
    </row>
    <row r="94" spans="1:3">
      <c r="C9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RuleKit</vt:lpstr>
      <vt:lpstr>RatingList</vt:lpstr>
      <vt:lpstr>VHPlanRules</vt:lpstr>
      <vt:lpstr>LOV</vt:lpstr>
      <vt:lpstr>LOV_ComponentState</vt:lpstr>
      <vt:lpstr>LOV_RatingList__Type</vt:lpstr>
      <vt:lpstr>LOV_RatingListId</vt:lpstr>
      <vt:lpstr>LOV_RuleKitId</vt:lpstr>
      <vt:lpstr>LOV_SelectorType</vt:lpstr>
      <vt:lpstr>LOV_TrueFalse</vt:lpstr>
      <vt:lpstr>LOV_VehiclePlan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</dc:creator>
  <cp:lastModifiedBy>CARLOS DUARTE</cp:lastModifiedBy>
  <cp:lastPrinted>2019-05-30T09:29:31Z</cp:lastPrinted>
  <dcterms:created xsi:type="dcterms:W3CDTF">2019-02-15T17:47:31Z</dcterms:created>
  <dcterms:modified xsi:type="dcterms:W3CDTF">2026-06-05T18:56:23Z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86b39a-f873-4afb-95b7-159453b5f857_Enabled">
    <vt:lpwstr>true</vt:lpwstr>
  </property>
  <property fmtid="{D5CDD505-2E9C-101B-9397-08002B2CF9AE}" pid="3" name="MSIP_Label_9386b39a-f873-4afb-95b7-159453b5f857_SetDate">
    <vt:lpwstr>2024-06-10T16:19:32Z</vt:lpwstr>
  </property>
  <property fmtid="{D5CDD505-2E9C-101B-9397-08002B2CF9AE}" pid="4" name="MSIP_Label_9386b39a-f873-4afb-95b7-159453b5f857_Method">
    <vt:lpwstr>Standard</vt:lpwstr>
  </property>
  <property fmtid="{D5CDD505-2E9C-101B-9397-08002B2CF9AE}" pid="5" name="MSIP_Label_9386b39a-f873-4afb-95b7-159453b5f857_Name">
    <vt:lpwstr>General</vt:lpwstr>
  </property>
  <property fmtid="{D5CDD505-2E9C-101B-9397-08002B2CF9AE}" pid="6" name="MSIP_Label_9386b39a-f873-4afb-95b7-159453b5f857_SiteId">
    <vt:lpwstr>3d918542-68a9-4e89-ac7a-0f74754ddb24</vt:lpwstr>
  </property>
  <property fmtid="{D5CDD505-2E9C-101B-9397-08002B2CF9AE}" pid="7" name="MSIP_Label_9386b39a-f873-4afb-95b7-159453b5f857_ActionId">
    <vt:lpwstr>5f63f9d8-38d0-4e5d-9839-42d09091f193</vt:lpwstr>
  </property>
  <property fmtid="{D5CDD505-2E9C-101B-9397-08002B2CF9AE}" pid="8" name="MSIP_Label_9386b39a-f873-4afb-95b7-159453b5f857_ContentBits">
    <vt:lpwstr>0</vt:lpwstr>
  </property>
  <property fmtid="{D5CDD505-2E9C-101B-9397-08002B2CF9AE}" pid="9" name="MSIP_Label_9a7ed875-cb67-40d7-9ea6-a804b08b1148_Enabled">
    <vt:lpwstr>true</vt:lpwstr>
  </property>
  <property fmtid="{D5CDD505-2E9C-101B-9397-08002B2CF9AE}" pid="10" name="MSIP_Label_9a7ed875-cb67-40d7-9ea6-a804b08b1148_SetDate">
    <vt:lpwstr>2026-06-05T18:46:56Z</vt:lpwstr>
  </property>
  <property fmtid="{D5CDD505-2E9C-101B-9397-08002B2CF9AE}" pid="11" name="MSIP_Label_9a7ed875-cb67-40d7-9ea6-a804b08b1148_Method">
    <vt:lpwstr>Privileged</vt:lpwstr>
  </property>
  <property fmtid="{D5CDD505-2E9C-101B-9397-08002B2CF9AE}" pid="12" name="MSIP_Label_9a7ed875-cb67-40d7-9ea6-a804b08b1148_Name">
    <vt:lpwstr>9a7ed875-cb67-40d7-9ea6-a804b08b1148</vt:lpwstr>
  </property>
  <property fmtid="{D5CDD505-2E9C-101B-9397-08002B2CF9AE}" pid="13" name="MSIP_Label_9a7ed875-cb67-40d7-9ea6-a804b08b1148_SiteId">
    <vt:lpwstr>473672ba-cd07-4371-a2ae-788b4c61840e</vt:lpwstr>
  </property>
  <property fmtid="{D5CDD505-2E9C-101B-9397-08002B2CF9AE}" pid="14" name="MSIP_Label_9a7ed875-cb67-40d7-9ea6-a804b08b1148_ActionId">
    <vt:lpwstr>522ec80f-7b55-4e07-8160-d2b8fd0e036b</vt:lpwstr>
  </property>
  <property fmtid="{D5CDD505-2E9C-101B-9397-08002B2CF9AE}" pid="15" name="MSIP_Label_9a7ed875-cb67-40d7-9ea6-a804b08b1148_ContentBits">
    <vt:lpwstr>0</vt:lpwstr>
  </property>
  <property fmtid="{D5CDD505-2E9C-101B-9397-08002B2CF9AE}" pid="16" name="MSIP_Label_9a7ed875-cb67-40d7-9ea6-a804b08b1148_Tag">
    <vt:lpwstr>10, 0, 1, 1</vt:lpwstr>
  </property>
</Properties>
</file>