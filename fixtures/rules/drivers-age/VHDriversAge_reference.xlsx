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uleKit" sheetId="1" state="visible" r:id="rId3"/>
    <sheet name="RatingList" sheetId="2" state="visible" r:id="rId4"/>
    <sheet name="VHDriversAge" sheetId="3" state="visible" r:id="rId5"/>
    <sheet name="LOV" sheetId="4" state="hidden" r:id="rId6"/>
  </sheets>
  <definedNames>
    <definedName function="false" hidden="false" name="LOV_ComponentState" vbProcedure="false">LOV!$B$48:$B$50</definedName>
    <definedName function="false" hidden="false" name="LOV_RatingListID" vbProcedure="false">RatingList[ID]</definedName>
    <definedName function="false" hidden="false" name="LOV_RatingList__Type" vbProcedure="false">LOV!$B$51:$B$52</definedName>
    <definedName function="false" hidden="false" name="LOV_RuleKitID" vbProcedure="false">RuleKit[ID]</definedName>
    <definedName function="false" hidden="false" name="LOV_SelectorType" vbProcedure="false">LOV!$B$3:$B$9</definedName>
    <definedName function="false" hidden="false" name="LOV_TransitZone" vbProcedure="false">LOV!$B$25:$B$45</definedName>
    <definedName function="false" hidden="false" name="LOV_TrueFalse" vbProcedure="false">LOV!$B$1:$B$2</definedName>
    <definedName function="false" hidden="false" name="LOV_VehicleType" vbProcedure="false">LOV!$B$10:$B$24</definedName>
    <definedName function="false" hidden="false" name="LOV_YesNo" vbProcedure="false">LOV!$B$46:$B$47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<sst xmlns="http://schemas.openxmlformats.org/spreadsheetml/2006/main" count="267" uniqueCount="137">
  <si>
    <t xml:space="preserve">ID</t>
  </si>
  <si>
    <t xml:space="preserve">Code</t>
  </si>
  <si>
    <t xml:space="preserve">Name</t>
  </si>
  <si>
    <t xml:space="preserve">Description</t>
  </si>
  <si>
    <t xml:space="preserve">Version</t>
  </si>
  <si>
    <t xml:space="preserve">State</t>
  </si>
  <si>
    <t xml:space="preserve">Rule kit</t>
  </si>
  <si>
    <t xml:space="preserve">Type</t>
  </si>
  <si>
    <t xml:space="preserve">Selector</t>
  </si>
  <si>
    <t xml:space="preserve">Selector type</t>
  </si>
  <si>
    <t xml:space="preserve">Valid from</t>
  </si>
  <si>
    <t xml:space="preserve">Valid to</t>
  </si>
  <si>
    <t xml:space="preserve">OLD</t>
  </si>
  <si>
    <t xml:space="preserve">GlobalRatingList Global</t>
  </si>
  <si>
    <t xml:space="preserve">VH_DRIVERS_AGE</t>
  </si>
  <si>
    <t xml:space="preserve">VHDriversAge</t>
  </si>
  <si>
    <t xml:space="preserve">None None</t>
  </si>
  <si>
    <t xml:space="preserve">DRAFT Draft</t>
  </si>
  <si>
    <t xml:space="preserve">NEW</t>
  </si>
  <si>
    <t xml:space="preserve">Rating list</t>
  </si>
  <si>
    <t xml:space="preserve">Drivers age from</t>
  </si>
  <si>
    <t xml:space="preserve">Drivers age to</t>
  </si>
  <si>
    <t xml:space="preserve">DAPA_FREC</t>
  </si>
  <si>
    <t xml:space="preserve">DAPA_CM</t>
  </si>
  <si>
    <t xml:space="preserve">DATO_FREC</t>
  </si>
  <si>
    <t xml:space="preserve">DATO_CM</t>
  </si>
  <si>
    <t xml:space="preserve">RC_FREC</t>
  </si>
  <si>
    <t xml:space="preserve">RC_CM</t>
  </si>
  <si>
    <t xml:space="preserve">ROPA_FREC</t>
  </si>
  <si>
    <t xml:space="preserve">ROPA_CM</t>
  </si>
  <si>
    <t xml:space="preserve">ROTO_FREC</t>
  </si>
  <si>
    <t xml:space="preserve">ROTO_CM</t>
  </si>
  <si>
    <t xml:space="preserve">TrueFalse</t>
  </si>
  <si>
    <t xml:space="preserve">TRUE True</t>
  </si>
  <si>
    <t xml:space="preserve">TRUE</t>
  </si>
  <si>
    <t xml:space="preserve">FALSE False</t>
  </si>
  <si>
    <t xml:space="preserve">FALSE</t>
  </si>
  <si>
    <t xml:space="preserve">SelectorType</t>
  </si>
  <si>
    <t xml:space="preserve">ClaimEvent Claim event</t>
  </si>
  <si>
    <t xml:space="preserve">ClaimEvent</t>
  </si>
  <si>
    <t xml:space="preserve">Product Product</t>
  </si>
  <si>
    <t xml:space="preserve">Product</t>
  </si>
  <si>
    <t xml:space="preserve">ProductVariant Product variant</t>
  </si>
  <si>
    <t xml:space="preserve">ProductVariant</t>
  </si>
  <si>
    <t xml:space="preserve">None</t>
  </si>
  <si>
    <t xml:space="preserve">PartyType Party type</t>
  </si>
  <si>
    <t xml:space="preserve">PartyType</t>
  </si>
  <si>
    <t xml:space="preserve">ClaimType Claim type</t>
  </si>
  <si>
    <t xml:space="preserve">ClaimType</t>
  </si>
  <si>
    <t xml:space="preserve">Other Other</t>
  </si>
  <si>
    <t xml:space="preserve">Other</t>
  </si>
  <si>
    <t xml:space="preserve">VehicleType</t>
  </si>
  <si>
    <t xml:space="preserve">ESPECIAL ESPECIAL</t>
  </si>
  <si>
    <t xml:space="preserve">ESPECIAL</t>
  </si>
  <si>
    <t xml:space="preserve">PALA PALA</t>
  </si>
  <si>
    <t xml:space="preserve">PALA</t>
  </si>
  <si>
    <t xml:space="preserve">JEEP JEEP</t>
  </si>
  <si>
    <t xml:space="preserve">JEEP</t>
  </si>
  <si>
    <t xml:space="preserve">AUTOMOVIL AUTOMOVIL</t>
  </si>
  <si>
    <t xml:space="preserve">AUTOMOVIL</t>
  </si>
  <si>
    <t xml:space="preserve">MOTO MOTO</t>
  </si>
  <si>
    <t xml:space="preserve">MOTO</t>
  </si>
  <si>
    <t xml:space="preserve">STATION WAGON STATION WAGON</t>
  </si>
  <si>
    <t xml:space="preserve">STATION WAGON</t>
  </si>
  <si>
    <t xml:space="preserve">CAMIONETA DOBLE CABINA CAMIONETA DOBLE CABINA</t>
  </si>
  <si>
    <t xml:space="preserve">CAMIONETA DOBLE CABINA</t>
  </si>
  <si>
    <t xml:space="preserve">COUPE COUPE</t>
  </si>
  <si>
    <t xml:space="preserve">COUPE</t>
  </si>
  <si>
    <t xml:space="preserve">CAMIONETA CAMIONETA</t>
  </si>
  <si>
    <t xml:space="preserve">CAMIONETA</t>
  </si>
  <si>
    <t xml:space="preserve">MOTOCICLETA MOTOCICLETA</t>
  </si>
  <si>
    <t xml:space="preserve">MOTOCICLETA</t>
  </si>
  <si>
    <t xml:space="preserve">SEDAN SEDAN</t>
  </si>
  <si>
    <t xml:space="preserve">SEDAN</t>
  </si>
  <si>
    <t xml:space="preserve">MOTOCICLETAS MOTOCICLETAS</t>
  </si>
  <si>
    <t xml:space="preserve">MOTOCICLETAS</t>
  </si>
  <si>
    <t xml:space="preserve">LIMOUSINE</t>
  </si>
  <si>
    <t xml:space="preserve">LIVIANO</t>
  </si>
  <si>
    <t xml:space="preserve">MINI VAN</t>
  </si>
  <si>
    <t xml:space="preserve">TransitZone</t>
  </si>
  <si>
    <t xml:space="preserve">PASTAZA PASTAZA</t>
  </si>
  <si>
    <t xml:space="preserve">PASTAZA</t>
  </si>
  <si>
    <t xml:space="preserve">BOLIVAR BOLIVAR</t>
  </si>
  <si>
    <t xml:space="preserve">BOLIVAR</t>
  </si>
  <si>
    <t xml:space="preserve">AZUAY AZUAY</t>
  </si>
  <si>
    <t xml:space="preserve">AZUAY</t>
  </si>
  <si>
    <t xml:space="preserve">SANTO DOMINGO DE LOS TSACHILAS SANTO DOMINGO DE LOS TSACHILAS</t>
  </si>
  <si>
    <t xml:space="preserve">SANTO DOMINGO DE LOS TSACHILAS</t>
  </si>
  <si>
    <t xml:space="preserve">GUAYAS GUAYAS</t>
  </si>
  <si>
    <t xml:space="preserve">GUAYAS</t>
  </si>
  <si>
    <t xml:space="preserve">IMBABURA IMBABURA</t>
  </si>
  <si>
    <t xml:space="preserve">IMBABURA</t>
  </si>
  <si>
    <t xml:space="preserve">EL ORO EL ORO</t>
  </si>
  <si>
    <t xml:space="preserve">EL ORO</t>
  </si>
  <si>
    <t xml:space="preserve">MANABI MANABI</t>
  </si>
  <si>
    <t xml:space="preserve">MANABI</t>
  </si>
  <si>
    <t xml:space="preserve">CAÑAR CAÑAR</t>
  </si>
  <si>
    <t xml:space="preserve">CAÑAR</t>
  </si>
  <si>
    <t xml:space="preserve">CHIMBORAZO CHIMBORAZO</t>
  </si>
  <si>
    <t xml:space="preserve">CHIMBORAZO</t>
  </si>
  <si>
    <t xml:space="preserve">SANTA ELENA SANTA ELENA</t>
  </si>
  <si>
    <t xml:space="preserve">SANTA ELENA</t>
  </si>
  <si>
    <t xml:space="preserve">ESMERALDAS ESMERALDAS</t>
  </si>
  <si>
    <t xml:space="preserve">ESMERALDAS</t>
  </si>
  <si>
    <t xml:space="preserve">COTOPAXI COTOPAXI</t>
  </si>
  <si>
    <t xml:space="preserve">COTOPAXI</t>
  </si>
  <si>
    <t xml:space="preserve">LOJA LOJA</t>
  </si>
  <si>
    <t xml:space="preserve">LOJA</t>
  </si>
  <si>
    <t xml:space="preserve">PICHINCHA PICHINCHA</t>
  </si>
  <si>
    <t xml:space="preserve">PICHINCHA</t>
  </si>
  <si>
    <t xml:space="preserve">SUCUMBIOS SUCUMBIOS</t>
  </si>
  <si>
    <t xml:space="preserve">SUCUMBIOS</t>
  </si>
  <si>
    <t xml:space="preserve">LOS RIOS LOS RIOS</t>
  </si>
  <si>
    <t xml:space="preserve">LOS RIOS</t>
  </si>
  <si>
    <t xml:space="preserve">TUNGURAHUA TUNGURAHUA</t>
  </si>
  <si>
    <t xml:space="preserve">TUNGURAHUA</t>
  </si>
  <si>
    <t xml:space="preserve">CARCHI CARCHI</t>
  </si>
  <si>
    <t xml:space="preserve">CARCHI</t>
  </si>
  <si>
    <t xml:space="preserve">ORELLANA ORELLANA</t>
  </si>
  <si>
    <t xml:space="preserve">ORELLANA</t>
  </si>
  <si>
    <t xml:space="preserve">RESTO RESTO</t>
  </si>
  <si>
    <t xml:space="preserve">RESTO</t>
  </si>
  <si>
    <t xml:space="preserve">YesNo</t>
  </si>
  <si>
    <t xml:space="preserve">NO No</t>
  </si>
  <si>
    <t xml:space="preserve">NO</t>
  </si>
  <si>
    <t xml:space="preserve">YES Yes</t>
  </si>
  <si>
    <t xml:space="preserve">YES</t>
  </si>
  <si>
    <t xml:space="preserve">ComponentState</t>
  </si>
  <si>
    <t xml:space="preserve">DRAFT</t>
  </si>
  <si>
    <t xml:space="preserve">ARCHIVAL Archival</t>
  </si>
  <si>
    <t xml:space="preserve">ARCHIVAL</t>
  </si>
  <si>
    <t xml:space="preserve">FINAL Final</t>
  </si>
  <si>
    <t xml:space="preserve">FINAL</t>
  </si>
  <si>
    <t xml:space="preserve">RatingList__Type</t>
  </si>
  <si>
    <t xml:space="preserve">LocalRatingList Local</t>
  </si>
  <si>
    <t xml:space="preserve">LocalRatingList</t>
  </si>
  <si>
    <t xml:space="preserve">GlobalRatingList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</si>
</sst>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 * #,##0.00_ ;_ * \-#,##0.00_ ;_ * \-??_ ;_ @_ "/>
    <numFmt numFmtId="166" formatCode="_ &quot;$ &quot;* #,##0.00_ ;_ &quot;$ &quot;* \-#,##0.00_ ;_ &quot;$ &quot;* \-??_ ;_ @_ "/>
    <numFmt numFmtId="167" formatCode="0%"/>
    <numFmt numFmtId="168" formatCode="dd\.mm\.yyyy\ hh:mm"/>
    <numFmt numFmtId="169" formatCode="#,##0.00000000000000"/>
  </numFmts>
  <fonts count="10">
    <font>
      <sz val="11"/>
      <color theme="1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8"/>
      <color theme="1"/>
      <name val="Arial"/>
      <family val="2"/>
      <charset val="238"/>
    </font>
    <font>
      <b val="true"/>
      <sz val="8"/>
      <color theme="1"/>
      <name val="Arial"/>
      <family val="2"/>
      <charset val="238"/>
    </font>
    <font>
      <b val="true"/>
      <sz val="9"/>
      <color theme="1"/>
      <name val="Arial"/>
      <family val="2"/>
      <charset val="238"/>
    </font>
    <font>
      <sz val="9"/>
      <color theme="1"/>
      <name val="Arial"/>
      <family val="2"/>
      <charset val="1"/>
    </font>
    <font>
      <sz val="8"/>
      <color rgb="FF00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theme="1"/>
      </right>
      <top/>
      <bottom style="medium">
        <color theme="1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urrency 2" xfId="21"/>
    <cellStyle name="Normal 2" xfId="22"/>
    <cellStyle name="Percent 2" xfId="23"/>
  </cellStyles>
  <dxfs count="21">
    <dxf>
      <fill>
        <patternFill patternType="solid">
          <fgColor rgb="FFE6B9B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  <dxf>
      <fill>
        <patternFill>
          <bgColor theme="5" tint="0.599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atingList" displayName="RatingList" ref="A1:L3" headerRowCount="1" totalsRowCount="0" totalsRowShown="0">
  <autoFilter ref="A1:L3"/>
  <tableColumns count="12">
    <tableColumn id="1" name="ID"/>
    <tableColumn id="2" name="Rule kit"/>
    <tableColumn id="3" name="Type"/>
    <tableColumn id="4" name="Code"/>
    <tableColumn id="5" name="Name"/>
    <tableColumn id="6" name="Description"/>
    <tableColumn id="7" name="Selector"/>
    <tableColumn id="8" name="Selector type"/>
    <tableColumn id="9" name="Version"/>
    <tableColumn id="10" name="Valid from"/>
    <tableColumn id="11" name="Valid to"/>
    <tableColumn id="12" name="State"/>
  </tableColumns>
</table>
</file>

<file path=xl/tables/table2.xml><?xml version="1.0" encoding="utf-8"?>
<table xmlns="http://schemas.openxmlformats.org/spreadsheetml/2006/main" id="2" name="RuleKit" displayName="RuleKit" ref="A1:F2" headerRowCount="1" totalsRowCount="0" totalsRowShown="0">
  <tableColumns count="6">
    <tableColumn id="1" name="ID"/>
    <tableColumn id="2" name="Code"/>
    <tableColumn id="3" name="Name"/>
    <tableColumn id="4" name="Description"/>
    <tableColumn id="5" name="Version"/>
    <tableColumn id="6" name="State"/>
  </tableColumns>
</table>
</file>

<file path=xl/tables/table3.xml><?xml version="1.0" encoding="utf-8"?>
<table xmlns="http://schemas.openxmlformats.org/spreadsheetml/2006/main" id="3" name="VHDriversAge5" displayName="VHDriversAge5" ref="A1:N66" headerRowCount="1" totalsRowCount="0" totalsRowShown="0">
  <autoFilter ref="A1:N66"/>
  <tableColumns count="14">
    <tableColumn id="1" name="ID"/>
    <tableColumn id="2" name="Rating list"/>
    <tableColumn id="3" name="Drivers age from"/>
    <tableColumn id="4" name="Drivers age to"/>
    <tableColumn id="5" name="DAPA_FREC"/>
    <tableColumn id="6" name="DAPA_CM"/>
    <tableColumn id="7" name="DATO_FREC"/>
    <tableColumn id="8" name="DATO_CM"/>
    <tableColumn id="9" name="RC_FREC"/>
    <tableColumn id="10" name="RC_CM"/>
    <tableColumn id="11" name="ROPA_FREC"/>
    <tableColumn id="12" name="ROPA_CM"/>
    <tableColumn id="13" name="ROTO_FREC"/>
    <tableColumn id="14" name="ROTO_C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N66 A1"/>
    </sheetView>
  </sheetViews>
  <sheetFormatPr defaultColWidth="8.59765625" defaultRowHeight="13.5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13.6"/>
    <col collapsed="false" customWidth="true" hidden="false" outlineLevel="0" max="3" min="3" style="1" width="23.5"/>
    <col collapsed="false" customWidth="true" hidden="false" outlineLevel="0" max="4" min="4" style="1" width="39.1"/>
    <col collapsed="false" customWidth="true" hidden="false" outlineLevel="0" max="5" min="5" style="1" width="9.7"/>
    <col collapsed="false" customWidth="true" hidden="false" outlineLevel="0" max="6" min="6" style="1" width="23.5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conditionalFormatting sqref="A2">
    <cfRule type="expression" priority="2" aboveAverage="0" equalAverage="0" bottom="0" percent="0" rank="0" text="" dxfId="4">
      <formula>ISBLANK($A2)</formula>
    </cfRule>
  </conditionalFormatting>
  <conditionalFormatting sqref="B2">
    <cfRule type="expression" priority="3" aboveAverage="0" equalAverage="0" bottom="0" percent="0" rank="0" text="" dxfId="5">
      <formula>ISBLANK($B2)</formula>
    </cfRule>
  </conditionalFormatting>
  <conditionalFormatting sqref="C2">
    <cfRule type="expression" priority="4" aboveAverage="0" equalAverage="0" bottom="0" percent="0" rank="0" text="" dxfId="6">
      <formula>ISBLANK($C2)</formula>
    </cfRule>
  </conditionalFormatting>
  <conditionalFormatting sqref="E2">
    <cfRule type="expression" priority="5" aboveAverage="0" equalAverage="0" bottom="0" percent="0" rank="0" text="" dxfId="7">
      <formula>ISBLANK($E2)</formula>
    </cfRule>
  </conditionalFormatting>
  <dataValidations count="1">
    <dataValidation allowBlank="true" errorStyle="stop" operator="between" showDropDown="false" showErrorMessage="false" showInputMessage="false" sqref="F2" type="list">
      <formula1>LOV_ComponentState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&amp;L_x005F_x000D_&amp;1#&amp;"Aptos,Regular"&amp;10 INTERNAL USE ONLY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N66 A1"/>
    </sheetView>
  </sheetViews>
  <sheetFormatPr defaultColWidth="8.59765625" defaultRowHeight="13.5" zeroHeight="false" outlineLevelRow="0" outlineLevelCol="0"/>
  <cols>
    <col collapsed="false" customWidth="true" hidden="false" outlineLevel="0" max="1" min="1" style="1" width="9.5"/>
    <col collapsed="false" customWidth="true" hidden="false" outlineLevel="0" max="2" min="2" style="1" width="7.5"/>
    <col collapsed="false" customWidth="true" hidden="false" outlineLevel="0" max="9" min="3" style="1" width="20"/>
    <col collapsed="false" customWidth="true" hidden="false" outlineLevel="0" max="11" min="10" style="3" width="20"/>
    <col collapsed="false" customWidth="true" hidden="false" outlineLevel="0" max="12" min="12" style="1" width="20"/>
  </cols>
  <sheetData>
    <row r="1" customFormat="false" ht="13.5" hidden="false" customHeight="true" outlineLevel="0" collapsed="false">
      <c r="A1" s="2" t="s">
        <v>0</v>
      </c>
      <c r="B1" s="2" t="s">
        <v>6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8</v>
      </c>
      <c r="H1" s="2" t="s">
        <v>9</v>
      </c>
      <c r="I1" s="2" t="s">
        <v>4</v>
      </c>
      <c r="J1" s="2" t="s">
        <v>10</v>
      </c>
      <c r="K1" s="2" t="s">
        <v>11</v>
      </c>
      <c r="L1" s="2" t="s">
        <v>5</v>
      </c>
    </row>
    <row r="2" customFormat="false" ht="12.75" hidden="false" customHeight="true" outlineLevel="0" collapsed="false">
      <c r="A2" s="1" t="s">
        <v>12</v>
      </c>
      <c r="C2" s="1" t="s">
        <v>13</v>
      </c>
      <c r="D2" s="1" t="s">
        <v>14</v>
      </c>
      <c r="E2" s="1" t="s">
        <v>15</v>
      </c>
      <c r="F2" s="1" t="s">
        <v>15</v>
      </c>
      <c r="H2" s="1" t="s">
        <v>16</v>
      </c>
      <c r="I2" s="1" t="n">
        <v>5</v>
      </c>
      <c r="J2" s="3" t="n">
        <v>45834</v>
      </c>
      <c r="K2" s="3" t="n">
        <f aca="true">TODAY()-(0.5/24)</f>
        <v>46061.9791666667</v>
      </c>
      <c r="L2" s="1" t="s">
        <v>17</v>
      </c>
    </row>
    <row r="3" customFormat="false" ht="12.75" hidden="false" customHeight="true" outlineLevel="0" collapsed="false">
      <c r="A3" s="1" t="s">
        <v>18</v>
      </c>
      <c r="C3" s="1" t="s">
        <v>13</v>
      </c>
      <c r="D3" s="1" t="s">
        <v>14</v>
      </c>
      <c r="E3" s="1" t="s">
        <v>15</v>
      </c>
      <c r="F3" s="1" t="s">
        <v>15</v>
      </c>
      <c r="H3" s="1" t="s">
        <v>16</v>
      </c>
      <c r="I3" s="1" t="n">
        <v>6</v>
      </c>
      <c r="J3" s="3" t="n">
        <f aca="true">TODAY()</f>
        <v>46062</v>
      </c>
      <c r="L3" s="1" t="s">
        <v>17</v>
      </c>
    </row>
  </sheetData>
  <conditionalFormatting sqref="C2:C3">
    <cfRule type="expression" priority="2" aboveAverage="0" equalAverage="0" bottom="0" percent="0" rank="0" text="" dxfId="8">
      <formula>ISBLANK($C2)</formula>
    </cfRule>
  </conditionalFormatting>
  <conditionalFormatting sqref="G2:G3">
    <cfRule type="expression" priority="3" aboveAverage="0" equalAverage="0" bottom="0" percent="0" rank="0" text="" dxfId="9">
      <formula>ISBLANK($G2)</formula>
    </cfRule>
  </conditionalFormatting>
  <conditionalFormatting sqref="H2:H3">
    <cfRule type="expression" priority="4" aboveAverage="0" equalAverage="0" bottom="0" percent="0" rank="0" text="" dxfId="10">
      <formula>ISBLANK($H2)</formula>
    </cfRule>
  </conditionalFormatting>
  <conditionalFormatting sqref="J2:J3">
    <cfRule type="expression" priority="5" aboveAverage="0" equalAverage="0" bottom="0" percent="0" rank="0" text="" dxfId="11">
      <formula>ISBLANK($J2)</formula>
    </cfRule>
  </conditionalFormatting>
  <conditionalFormatting sqref="E2:E3">
    <cfRule type="expression" priority="6" aboveAverage="0" equalAverage="0" bottom="0" percent="0" rank="0" text="" dxfId="12">
      <formula>ISBLANK($E2)</formula>
    </cfRule>
  </conditionalFormatting>
  <conditionalFormatting sqref="A2:A3 D2:D3">
    <cfRule type="expression" priority="7" aboveAverage="0" equalAverage="0" bottom="0" percent="0" rank="0" text="" dxfId="13">
      <formula>ISBLANK($D2)</formula>
    </cfRule>
  </conditionalFormatting>
  <conditionalFormatting sqref="B2:B3">
    <cfRule type="expression" priority="8" aboveAverage="0" equalAverage="0" bottom="0" percent="0" rank="0" text="" dxfId="14">
      <formula>ISBLANK($B2)</formula>
    </cfRule>
  </conditionalFormatting>
  <dataValidations count="4">
    <dataValidation allowBlank="true" errorStyle="stop" operator="between" showDropDown="false" showErrorMessage="false" showInputMessage="false" sqref="B2:B3" type="list">
      <formula1>LOV_RuleKitID</formula1>
      <formula2>0</formula2>
    </dataValidation>
    <dataValidation allowBlank="true" errorStyle="stop" operator="between" showDropDown="false" showErrorMessage="false" showInputMessage="false" sqref="C2:C3" type="list">
      <formula1>LOV_RatingList__Type</formula1>
      <formula2>0</formula2>
    </dataValidation>
    <dataValidation allowBlank="true" errorStyle="stop" operator="between" showDropDown="false" showErrorMessage="false" showInputMessage="false" sqref="H2:H3" type="list">
      <formula1>LOV_SelectorType</formula1>
      <formula2>0</formula2>
    </dataValidation>
    <dataValidation allowBlank="true" errorStyle="stop" operator="between" showDropDown="false" showErrorMessage="false" showInputMessage="false" sqref="L2:L3" type="list">
      <formula1>LOV_ComponentState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&amp;L_x005F_x000D_&amp;1#&amp;"Aptos,Regular"&amp;10 INTERNAL USE ONLY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6"/>
  <sheetViews>
    <sheetView showFormulas="false" showGridLines="true" showRowColHeaders="true" showZeros="true" rightToLeft="false" tabSelected="true" showOutlineSymbols="true" defaultGridColor="true" view="normal" topLeftCell="C19" colorId="64" zoomScale="100" zoomScaleNormal="100" zoomScalePageLayoutView="100" workbookViewId="0">
      <selection pane="topLeft" activeCell="E2" activeCellId="0" sqref="E2:N66"/>
    </sheetView>
  </sheetViews>
  <sheetFormatPr defaultColWidth="8.59765625" defaultRowHeight="13.5" zeroHeight="false" outlineLevelRow="0" outlineLevelCol="0"/>
  <cols>
    <col collapsed="false" customWidth="true" hidden="false" outlineLevel="0" max="1" min="1" style="0" width="4.2"/>
    <col collapsed="false" customWidth="true" hidden="false" outlineLevel="0" max="2" min="2" style="0" width="9.8"/>
    <col collapsed="false" customWidth="true" hidden="false" outlineLevel="0" max="3" min="3" style="0" width="14.6"/>
    <col collapsed="false" customWidth="true" hidden="false" outlineLevel="0" max="4" min="4" style="0" width="12.79"/>
    <col collapsed="false" customWidth="true" hidden="false" outlineLevel="0" max="14" min="5" style="0" width="14"/>
  </cols>
  <sheetData>
    <row r="1" customFormat="false" ht="13.5" hidden="false" customHeight="false" outlineLevel="0" collapsed="false">
      <c r="A1" s="4" t="s">
        <v>0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</row>
    <row r="2" customFormat="false" ht="13.5" hidden="false" customHeight="false" outlineLevel="0" collapsed="false">
      <c r="A2" s="5"/>
      <c r="B2" s="5" t="s">
        <v>18</v>
      </c>
      <c r="C2" s="5" t="n">
        <v>17</v>
      </c>
      <c r="D2" s="5" t="n">
        <v>17</v>
      </c>
      <c r="E2" s="6" t="n">
        <v>1.50688248</v>
      </c>
      <c r="F2" s="6" t="n">
        <v>1.098170527</v>
      </c>
      <c r="G2" s="6" t="n">
        <v>2.578253235</v>
      </c>
      <c r="H2" s="6" t="n">
        <v>1.018156048</v>
      </c>
      <c r="I2" s="6" t="n">
        <v>1.827510806</v>
      </c>
      <c r="J2" s="6" t="n">
        <v>1</v>
      </c>
      <c r="K2" s="6" t="n">
        <v>1</v>
      </c>
      <c r="L2" s="6" t="n">
        <v>1</v>
      </c>
      <c r="M2" s="6" t="n">
        <v>1.84010788</v>
      </c>
      <c r="N2" s="6" t="n">
        <v>1</v>
      </c>
    </row>
    <row r="3" customFormat="false" ht="13.5" hidden="false" customHeight="false" outlineLevel="0" collapsed="false">
      <c r="A3" s="5"/>
      <c r="B3" s="5" t="s">
        <v>18</v>
      </c>
      <c r="C3" s="5" t="n">
        <v>18</v>
      </c>
      <c r="D3" s="5" t="n">
        <v>18</v>
      </c>
      <c r="E3" s="6" t="n">
        <v>1.50688248</v>
      </c>
      <c r="F3" s="6" t="n">
        <v>1.098170527</v>
      </c>
      <c r="G3" s="6" t="n">
        <v>2.578253235</v>
      </c>
      <c r="H3" s="6" t="n">
        <v>1.018156048</v>
      </c>
      <c r="I3" s="6" t="n">
        <v>1.827510806</v>
      </c>
      <c r="J3" s="6" t="n">
        <v>1</v>
      </c>
      <c r="K3" s="6" t="n">
        <v>1</v>
      </c>
      <c r="L3" s="6" t="n">
        <v>1</v>
      </c>
      <c r="M3" s="6" t="n">
        <v>1.84010788</v>
      </c>
      <c r="N3" s="6" t="n">
        <v>1</v>
      </c>
    </row>
    <row r="4" customFormat="false" ht="13.5" hidden="false" customHeight="false" outlineLevel="0" collapsed="false">
      <c r="A4" s="5"/>
      <c r="B4" s="5" t="s">
        <v>18</v>
      </c>
      <c r="C4" s="5" t="n">
        <v>19</v>
      </c>
      <c r="D4" s="5" t="n">
        <v>19</v>
      </c>
      <c r="E4" s="6" t="n">
        <v>1.486981855</v>
      </c>
      <c r="F4" s="6" t="n">
        <v>1.228420398</v>
      </c>
      <c r="G4" s="6" t="n">
        <v>2.578253235</v>
      </c>
      <c r="H4" s="6" t="n">
        <v>1.016630535</v>
      </c>
      <c r="I4" s="6" t="n">
        <v>1.827510806</v>
      </c>
      <c r="J4" s="6" t="n">
        <v>1</v>
      </c>
      <c r="K4" s="6" t="n">
        <v>1</v>
      </c>
      <c r="L4" s="6" t="n">
        <v>1</v>
      </c>
      <c r="M4" s="6" t="n">
        <v>1.84010788</v>
      </c>
      <c r="N4" s="6" t="n">
        <v>1</v>
      </c>
    </row>
    <row r="5" customFormat="false" ht="13.5" hidden="false" customHeight="false" outlineLevel="0" collapsed="false">
      <c r="A5" s="5"/>
      <c r="B5" s="5" t="s">
        <v>18</v>
      </c>
      <c r="C5" s="5" t="n">
        <v>20</v>
      </c>
      <c r="D5" s="5" t="n">
        <v>20</v>
      </c>
      <c r="E5" s="6" t="n">
        <v>1.467344047</v>
      </c>
      <c r="F5" s="6" t="n">
        <v>1.07752941</v>
      </c>
      <c r="G5" s="6" t="n">
        <v>2.578253235</v>
      </c>
      <c r="H5" s="6" t="n">
        <v>1.015107308</v>
      </c>
      <c r="I5" s="6" t="n">
        <v>1.767044394</v>
      </c>
      <c r="J5" s="6" t="n">
        <v>1</v>
      </c>
      <c r="K5" s="6" t="n">
        <v>1</v>
      </c>
      <c r="L5" s="6" t="n">
        <v>1</v>
      </c>
      <c r="M5" s="6" t="n">
        <v>1.818236114</v>
      </c>
      <c r="N5" s="6" t="n">
        <v>1</v>
      </c>
    </row>
    <row r="6" customFormat="false" ht="13.5" hidden="false" customHeight="false" outlineLevel="0" collapsed="false">
      <c r="A6" s="5"/>
      <c r="B6" s="5" t="s">
        <v>18</v>
      </c>
      <c r="C6" s="5" t="n">
        <v>21</v>
      </c>
      <c r="D6" s="5" t="n">
        <v>21</v>
      </c>
      <c r="E6" s="6" t="n">
        <v>1.447965586</v>
      </c>
      <c r="F6" s="6" t="n">
        <v>1.067354799</v>
      </c>
      <c r="G6" s="6" t="n">
        <v>2.425999877</v>
      </c>
      <c r="H6" s="6" t="n">
        <v>1.013586364</v>
      </c>
      <c r="I6" s="6" t="n">
        <v>1.708578621</v>
      </c>
      <c r="J6" s="6" t="n">
        <v>1</v>
      </c>
      <c r="K6" s="6" t="n">
        <v>1</v>
      </c>
      <c r="L6" s="6" t="n">
        <v>1</v>
      </c>
      <c r="M6" s="6" t="n">
        <v>1.796624319</v>
      </c>
      <c r="N6" s="6" t="n">
        <v>1</v>
      </c>
    </row>
    <row r="7" customFormat="false" ht="13.5" hidden="false" customHeight="false" outlineLevel="0" collapsed="false">
      <c r="A7" s="5"/>
      <c r="B7" s="5" t="s">
        <v>18</v>
      </c>
      <c r="C7" s="5" t="n">
        <v>22</v>
      </c>
      <c r="D7" s="5" t="n">
        <v>22</v>
      </c>
      <c r="E7" s="6" t="n">
        <v>1.428843046</v>
      </c>
      <c r="F7" s="6" t="n">
        <v>1.193949732</v>
      </c>
      <c r="G7" s="6" t="n">
        <v>2.282737523</v>
      </c>
      <c r="H7" s="6" t="n">
        <v>1.012067698</v>
      </c>
      <c r="I7" s="6" t="n">
        <v>1.65204729</v>
      </c>
      <c r="J7" s="6" t="n">
        <v>1</v>
      </c>
      <c r="K7" s="6" t="n">
        <v>1</v>
      </c>
      <c r="L7" s="6" t="n">
        <v>1</v>
      </c>
      <c r="M7" s="6" t="n">
        <v>1.775269404</v>
      </c>
      <c r="N7" s="6" t="n">
        <v>1</v>
      </c>
    </row>
    <row r="8" customFormat="false" ht="13.5" hidden="false" customHeight="false" outlineLevel="0" collapsed="false">
      <c r="A8" s="5"/>
      <c r="B8" s="5" t="s">
        <v>18</v>
      </c>
      <c r="C8" s="5" t="n">
        <v>23</v>
      </c>
      <c r="D8" s="5" t="n">
        <v>23</v>
      </c>
      <c r="E8" s="6" t="n">
        <v>1.409973047</v>
      </c>
      <c r="F8" s="6" t="n">
        <v>1.047292892</v>
      </c>
      <c r="G8" s="6" t="n">
        <v>2.147935227</v>
      </c>
      <c r="H8" s="6" t="n">
        <v>1.010551307</v>
      </c>
      <c r="I8" s="6" t="n">
        <v>1.597386398</v>
      </c>
      <c r="J8" s="6" t="n">
        <v>1</v>
      </c>
      <c r="K8" s="6" t="n">
        <v>1</v>
      </c>
      <c r="L8" s="6" t="n">
        <v>1</v>
      </c>
      <c r="M8" s="6" t="n">
        <v>1.754168317</v>
      </c>
      <c r="N8" s="6" t="n">
        <v>1</v>
      </c>
    </row>
    <row r="9" customFormat="false" ht="13.5" hidden="false" customHeight="false" outlineLevel="0" collapsed="false">
      <c r="A9" s="5"/>
      <c r="B9" s="5" t="s">
        <v>18</v>
      </c>
      <c r="C9" s="5" t="n">
        <v>24</v>
      </c>
      <c r="D9" s="5" t="n">
        <v>24</v>
      </c>
      <c r="E9" s="6" t="n">
        <v>1.391352255</v>
      </c>
      <c r="F9" s="6" t="n">
        <v>1.03740379</v>
      </c>
      <c r="G9" s="6" t="n">
        <v>2.0210934</v>
      </c>
      <c r="H9" s="6" t="n">
        <v>1.009037189</v>
      </c>
      <c r="I9" s="6" t="n">
        <v>1.544534058</v>
      </c>
      <c r="J9" s="6" t="n">
        <v>1</v>
      </c>
      <c r="K9" s="6" t="n">
        <v>1</v>
      </c>
      <c r="L9" s="6" t="n">
        <v>1</v>
      </c>
      <c r="M9" s="6" t="n">
        <v>1.73331804</v>
      </c>
      <c r="N9" s="6" t="n">
        <v>1</v>
      </c>
    </row>
    <row r="10" customFormat="false" ht="13.5" hidden="false" customHeight="false" outlineLevel="0" collapsed="false">
      <c r="A10" s="5"/>
      <c r="B10" s="5" t="s">
        <v>18</v>
      </c>
      <c r="C10" s="5" t="n">
        <v>25</v>
      </c>
      <c r="D10" s="5" t="n">
        <v>25</v>
      </c>
      <c r="E10" s="6" t="n">
        <v>1.372977378</v>
      </c>
      <c r="F10" s="6" t="n">
        <v>1.027608066</v>
      </c>
      <c r="G10" s="6" t="n">
        <v>1.901741952</v>
      </c>
      <c r="H10" s="6" t="n">
        <v>1.007525339</v>
      </c>
      <c r="I10" s="6" t="n">
        <v>1.49343043</v>
      </c>
      <c r="J10" s="6" t="n">
        <v>1</v>
      </c>
      <c r="K10" s="6" t="n">
        <v>1</v>
      </c>
      <c r="L10" s="6" t="n">
        <v>1</v>
      </c>
      <c r="M10" s="6" t="n">
        <v>1.712715592</v>
      </c>
      <c r="N10" s="6" t="n">
        <v>1</v>
      </c>
    </row>
    <row r="11" customFormat="false" ht="13.5" hidden="false" customHeight="false" outlineLevel="0" collapsed="false">
      <c r="A11" s="5"/>
      <c r="B11" s="5" t="s">
        <v>18</v>
      </c>
      <c r="C11" s="5" t="n">
        <v>26</v>
      </c>
      <c r="D11" s="5" t="n">
        <v>26</v>
      </c>
      <c r="E11" s="6" t="n">
        <v>1.354845169</v>
      </c>
      <c r="F11" s="6" t="n">
        <v>1.017904839</v>
      </c>
      <c r="G11" s="6" t="n">
        <v>1.789438554</v>
      </c>
      <c r="H11" s="6" t="n">
        <v>1.006015754</v>
      </c>
      <c r="I11" s="6" t="n">
        <v>1.444017656</v>
      </c>
      <c r="J11" s="6" t="n">
        <v>1</v>
      </c>
      <c r="K11" s="6" t="n">
        <v>1</v>
      </c>
      <c r="L11" s="6" t="n">
        <v>1</v>
      </c>
      <c r="M11" s="6" t="n">
        <v>1.692358028</v>
      </c>
      <c r="N11" s="6" t="n">
        <v>1</v>
      </c>
    </row>
    <row r="12" customFormat="false" ht="13.5" hidden="false" customHeight="false" outlineLevel="0" collapsed="false">
      <c r="A12" s="5"/>
      <c r="B12" s="5" t="s">
        <v>18</v>
      </c>
      <c r="C12" s="5" t="n">
        <v>27</v>
      </c>
      <c r="D12" s="5" t="n">
        <v>27</v>
      </c>
      <c r="E12" s="6" t="n">
        <v>1.336952423</v>
      </c>
      <c r="F12" s="6" t="n">
        <v>1.008293235</v>
      </c>
      <c r="G12" s="6" t="n">
        <v>1.683766999</v>
      </c>
      <c r="H12" s="6" t="n">
        <v>1.004508431</v>
      </c>
      <c r="I12" s="6" t="n">
        <v>1.396239791</v>
      </c>
      <c r="J12" s="6" t="n">
        <v>1</v>
      </c>
      <c r="K12" s="6" t="n">
        <v>1</v>
      </c>
      <c r="L12" s="6" t="n">
        <v>1</v>
      </c>
      <c r="M12" s="6" t="n">
        <v>1.672242436</v>
      </c>
      <c r="N12" s="6" t="n">
        <v>1</v>
      </c>
    </row>
    <row r="13" customFormat="false" ht="13.5" hidden="false" customHeight="false" outlineLevel="0" collapsed="false">
      <c r="A13" s="5"/>
      <c r="B13" s="5" t="s">
        <v>18</v>
      </c>
      <c r="C13" s="5" t="n">
        <v>28</v>
      </c>
      <c r="D13" s="5" t="n">
        <v>28</v>
      </c>
      <c r="E13" s="6" t="n">
        <v>1.319295977</v>
      </c>
      <c r="F13" s="6" t="n">
        <v>0.998772389</v>
      </c>
      <c r="G13" s="6" t="n">
        <v>1.584335656</v>
      </c>
      <c r="H13" s="6" t="n">
        <v>1.003003367</v>
      </c>
      <c r="I13" s="6" t="n">
        <v>1.35004274</v>
      </c>
      <c r="J13" s="6" t="n">
        <v>1</v>
      </c>
      <c r="K13" s="6" t="n">
        <v>1</v>
      </c>
      <c r="L13" s="6" t="n">
        <v>1</v>
      </c>
      <c r="M13" s="6" t="n">
        <v>1.652365941</v>
      </c>
      <c r="N13" s="6" t="n">
        <v>1</v>
      </c>
    </row>
    <row r="14" customFormat="false" ht="13.5" hidden="false" customHeight="false" outlineLevel="0" collapsed="false">
      <c r="A14" s="5"/>
      <c r="B14" s="5" t="s">
        <v>18</v>
      </c>
      <c r="C14" s="5" t="n">
        <v>29</v>
      </c>
      <c r="D14" s="5" t="n">
        <v>29</v>
      </c>
      <c r="E14" s="6" t="n">
        <v>1.301872711</v>
      </c>
      <c r="F14" s="6" t="n">
        <v>0.989341444</v>
      </c>
      <c r="G14" s="6" t="n">
        <v>1.490776024</v>
      </c>
      <c r="H14" s="6" t="n">
        <v>1.001500558</v>
      </c>
      <c r="I14" s="6" t="n">
        <v>1.3053742</v>
      </c>
      <c r="J14" s="6" t="n">
        <v>1</v>
      </c>
      <c r="K14" s="6" t="n">
        <v>1</v>
      </c>
      <c r="L14" s="6" t="n">
        <v>1</v>
      </c>
      <c r="M14" s="6" t="n">
        <v>1.632725701</v>
      </c>
      <c r="N14" s="6" t="n">
        <v>1</v>
      </c>
    </row>
    <row r="15" customFormat="false" ht="13.5" hidden="false" customHeight="false" outlineLevel="0" collapsed="false">
      <c r="A15" s="5"/>
      <c r="B15" s="5" t="s">
        <v>18</v>
      </c>
      <c r="C15" s="5" t="n">
        <v>30</v>
      </c>
      <c r="D15" s="5" t="n">
        <v>30</v>
      </c>
      <c r="E15" s="6" t="n">
        <v>1.284679545</v>
      </c>
      <c r="F15" s="6" t="n">
        <v>0.979999551</v>
      </c>
      <c r="G15" s="6" t="n">
        <v>1.402741361</v>
      </c>
      <c r="H15" s="6" t="n">
        <v>1</v>
      </c>
      <c r="I15" s="6" t="n">
        <v>1.262183597</v>
      </c>
      <c r="J15" s="6" t="n">
        <v>1</v>
      </c>
      <c r="K15" s="6" t="n">
        <v>1</v>
      </c>
      <c r="L15" s="6" t="n">
        <v>1</v>
      </c>
      <c r="M15" s="6" t="n">
        <v>1.613318907</v>
      </c>
      <c r="N15" s="6" t="n">
        <v>1</v>
      </c>
    </row>
    <row r="16" customFormat="false" ht="13.5" hidden="false" customHeight="false" outlineLevel="0" collapsed="false">
      <c r="A16" s="5"/>
      <c r="B16" s="5" t="s">
        <v>18</v>
      </c>
      <c r="C16" s="5" t="n">
        <v>31</v>
      </c>
      <c r="D16" s="5" t="n">
        <v>31</v>
      </c>
      <c r="E16" s="6" t="n">
        <v>1.25565776</v>
      </c>
      <c r="F16" s="6" t="n">
        <v>0.975446407</v>
      </c>
      <c r="G16" s="6" t="n">
        <v>1.3199054</v>
      </c>
      <c r="H16" s="6" t="n">
        <v>1</v>
      </c>
      <c r="I16" s="6" t="n">
        <v>1.220422032</v>
      </c>
      <c r="J16" s="6" t="n">
        <v>1</v>
      </c>
      <c r="K16" s="6" t="n">
        <v>1</v>
      </c>
      <c r="L16" s="6" t="n">
        <v>1</v>
      </c>
      <c r="M16" s="6" t="n">
        <v>1.594142785</v>
      </c>
      <c r="N16" s="6" t="n">
        <v>1</v>
      </c>
    </row>
    <row r="17" customFormat="false" ht="13.5" hidden="false" customHeight="false" outlineLevel="0" collapsed="false">
      <c r="A17" s="5"/>
      <c r="B17" s="5" t="s">
        <v>18</v>
      </c>
      <c r="C17" s="5" t="n">
        <v>32</v>
      </c>
      <c r="D17" s="5" t="n">
        <v>32</v>
      </c>
      <c r="E17" s="6" t="n">
        <v>1.230444649</v>
      </c>
      <c r="F17" s="6" t="n">
        <v>0.971220159</v>
      </c>
      <c r="G17" s="6" t="n">
        <v>1.297024193</v>
      </c>
      <c r="H17" s="6" t="n">
        <v>1</v>
      </c>
      <c r="I17" s="6" t="n">
        <v>1.206937012</v>
      </c>
      <c r="J17" s="6" t="n">
        <v>1</v>
      </c>
      <c r="K17" s="6" t="n">
        <v>1</v>
      </c>
      <c r="L17" s="6" t="n">
        <v>1</v>
      </c>
      <c r="M17" s="6" t="n">
        <v>1.575194593</v>
      </c>
      <c r="N17" s="6" t="n">
        <v>1</v>
      </c>
    </row>
    <row r="18" customFormat="false" ht="13.5" hidden="false" customHeight="false" outlineLevel="0" collapsed="false">
      <c r="A18" s="5"/>
      <c r="B18" s="5" t="s">
        <v>18</v>
      </c>
      <c r="C18" s="5" t="n">
        <v>33</v>
      </c>
      <c r="D18" s="5" t="n">
        <v>33</v>
      </c>
      <c r="E18" s="6" t="n">
        <v>1.208610625</v>
      </c>
      <c r="F18" s="6" t="n">
        <v>0.967316734</v>
      </c>
      <c r="G18" s="6" t="n">
        <v>1.275387291</v>
      </c>
      <c r="H18" s="6" t="n">
        <v>1</v>
      </c>
      <c r="I18" s="6" t="n">
        <v>1.193969098</v>
      </c>
      <c r="J18" s="6" t="n">
        <v>1</v>
      </c>
      <c r="K18" s="6" t="n">
        <v>1</v>
      </c>
      <c r="L18" s="6" t="n">
        <v>1</v>
      </c>
      <c r="M18" s="6" t="n">
        <v>1.556471622</v>
      </c>
      <c r="N18" s="6" t="n">
        <v>1</v>
      </c>
    </row>
    <row r="19" customFormat="false" ht="13.5" hidden="false" customHeight="false" outlineLevel="0" collapsed="false">
      <c r="A19" s="7"/>
      <c r="B19" s="7" t="s">
        <v>18</v>
      </c>
      <c r="C19" s="7" t="n">
        <v>34</v>
      </c>
      <c r="D19" s="7" t="n">
        <v>34</v>
      </c>
      <c r="E19" s="8" t="n">
        <v>1.06977125</v>
      </c>
      <c r="F19" s="8" t="n">
        <v>0.963732382</v>
      </c>
      <c r="G19" s="8" t="n">
        <v>1.114945397</v>
      </c>
      <c r="H19" s="8" t="n">
        <v>1</v>
      </c>
      <c r="I19" s="8" t="n">
        <v>1.18150478</v>
      </c>
      <c r="J19" s="8" t="n">
        <v>1</v>
      </c>
      <c r="K19" s="8" t="n">
        <v>1</v>
      </c>
      <c r="L19" s="8" t="n">
        <v>1</v>
      </c>
      <c r="M19" s="8" t="n">
        <v>1.537971194</v>
      </c>
      <c r="N19" s="8" t="n">
        <v>1</v>
      </c>
    </row>
    <row r="20" customFormat="false" ht="13.5" hidden="false" customHeight="false" outlineLevel="0" collapsed="false">
      <c r="A20" s="7"/>
      <c r="B20" s="7" t="s">
        <v>18</v>
      </c>
      <c r="C20" s="7" t="n">
        <v>35</v>
      </c>
      <c r="D20" s="7" t="n">
        <v>35</v>
      </c>
      <c r="E20" s="8" t="n">
        <v>1.053579399</v>
      </c>
      <c r="F20" s="8" t="n">
        <v>0.960463666</v>
      </c>
      <c r="G20" s="8" t="n">
        <v>1.105652386</v>
      </c>
      <c r="H20" s="8" t="n">
        <v>1</v>
      </c>
      <c r="I20" s="8" t="n">
        <v>1.169531151</v>
      </c>
      <c r="J20" s="8" t="n">
        <v>1</v>
      </c>
      <c r="K20" s="8" t="n">
        <v>1</v>
      </c>
      <c r="L20" s="8" t="n">
        <v>1</v>
      </c>
      <c r="M20" s="8" t="n">
        <v>1.519690665</v>
      </c>
      <c r="N20" s="8" t="n">
        <v>1</v>
      </c>
    </row>
    <row r="21" customFormat="false" ht="13.5" hidden="false" customHeight="false" outlineLevel="0" collapsed="false">
      <c r="A21" s="7"/>
      <c r="B21" s="7" t="s">
        <v>18</v>
      </c>
      <c r="C21" s="7" t="n">
        <v>36</v>
      </c>
      <c r="D21" s="7" t="n">
        <v>36</v>
      </c>
      <c r="E21" s="8" t="n">
        <v>1.0437467742</v>
      </c>
      <c r="F21" s="8" t="n">
        <v>0.957507461</v>
      </c>
      <c r="G21" s="8" t="n">
        <v>1.095718617</v>
      </c>
      <c r="H21" s="8" t="n">
        <v>1</v>
      </c>
      <c r="I21" s="8" t="n">
        <v>1.158035892</v>
      </c>
      <c r="J21" s="8" t="n">
        <v>1</v>
      </c>
      <c r="K21" s="8" t="n">
        <v>1</v>
      </c>
      <c r="L21" s="8" t="n">
        <v>1</v>
      </c>
      <c r="M21" s="8" t="n">
        <v>1.50162742</v>
      </c>
      <c r="N21" s="8" t="n">
        <v>1</v>
      </c>
    </row>
    <row r="22" customFormat="false" ht="13.5" hidden="false" customHeight="false" outlineLevel="0" collapsed="false">
      <c r="A22" s="5"/>
      <c r="B22" s="5" t="s">
        <v>18</v>
      </c>
      <c r="C22" s="5" t="n">
        <v>37</v>
      </c>
      <c r="D22" s="5" t="n">
        <v>37</v>
      </c>
      <c r="E22" s="6" t="n">
        <v>1.0331078598</v>
      </c>
      <c r="F22" s="6" t="n">
        <v>0.954860946</v>
      </c>
      <c r="G22" s="6" t="n">
        <v>1.080309006</v>
      </c>
      <c r="H22" s="6" t="n">
        <v>1</v>
      </c>
      <c r="I22" s="6" t="n">
        <v>1.147007244</v>
      </c>
      <c r="J22" s="6" t="n">
        <v>1</v>
      </c>
      <c r="K22" s="6" t="n">
        <v>1</v>
      </c>
      <c r="L22" s="6" t="n">
        <v>1</v>
      </c>
      <c r="M22" s="6" t="n">
        <v>1.483778878</v>
      </c>
      <c r="N22" s="6" t="n">
        <v>1</v>
      </c>
    </row>
    <row r="23" customFormat="false" ht="13.5" hidden="false" customHeight="false" outlineLevel="0" collapsed="false">
      <c r="A23" s="5"/>
      <c r="B23" s="5" t="s">
        <v>18</v>
      </c>
      <c r="C23" s="5" t="n">
        <v>38</v>
      </c>
      <c r="D23" s="5" t="n">
        <v>38</v>
      </c>
      <c r="E23" s="6" t="n">
        <v>1.0240608258</v>
      </c>
      <c r="F23" s="6" t="n">
        <v>0.952521601</v>
      </c>
      <c r="G23" s="6" t="n">
        <v>1.0658244771</v>
      </c>
      <c r="H23" s="6" t="n">
        <v>1</v>
      </c>
      <c r="I23" s="6" t="n">
        <v>1.136433994</v>
      </c>
      <c r="J23" s="6" t="n">
        <v>1</v>
      </c>
      <c r="K23" s="6" t="n">
        <v>1</v>
      </c>
      <c r="L23" s="6" t="n">
        <v>1</v>
      </c>
      <c r="M23" s="6" t="n">
        <v>1.466142486</v>
      </c>
      <c r="N23" s="6" t="n">
        <v>1</v>
      </c>
    </row>
    <row r="24" customFormat="false" ht="13.5" hidden="false" customHeight="false" outlineLevel="0" collapsed="false">
      <c r="A24" s="5"/>
      <c r="B24" s="5" t="s">
        <v>18</v>
      </c>
      <c r="C24" s="5" t="n">
        <v>39</v>
      </c>
      <c r="D24" s="5" t="n">
        <v>39</v>
      </c>
      <c r="E24" s="6" t="n">
        <v>1.0163765016</v>
      </c>
      <c r="F24" s="6" t="n">
        <v>0.950487202</v>
      </c>
      <c r="G24" s="6" t="n">
        <v>1.0522334889</v>
      </c>
      <c r="H24" s="6" t="n">
        <v>1</v>
      </c>
      <c r="I24" s="6" t="n">
        <v>1.126305453</v>
      </c>
      <c r="J24" s="6" t="n">
        <v>1</v>
      </c>
      <c r="K24" s="6" t="n">
        <v>1</v>
      </c>
      <c r="L24" s="6" t="n">
        <v>1</v>
      </c>
      <c r="M24" s="6" t="n">
        <v>1.448715722</v>
      </c>
      <c r="N24" s="6" t="n">
        <v>1</v>
      </c>
    </row>
    <row r="25" customFormat="false" ht="13.5" hidden="false" customHeight="false" outlineLevel="0" collapsed="false">
      <c r="A25" s="5"/>
      <c r="B25" s="5" t="s">
        <v>18</v>
      </c>
      <c r="C25" s="5" t="n">
        <v>40</v>
      </c>
      <c r="D25" s="5" t="n">
        <v>40</v>
      </c>
      <c r="E25" s="6" t="n">
        <v>1.0098374256</v>
      </c>
      <c r="F25" s="6" t="n">
        <v>0.948755817</v>
      </c>
      <c r="G25" s="6" t="n">
        <v>1.0395066852</v>
      </c>
      <c r="H25" s="6" t="n">
        <v>1</v>
      </c>
      <c r="I25" s="6" t="n">
        <v>1.116611438</v>
      </c>
      <c r="J25" s="6" t="n">
        <v>1</v>
      </c>
      <c r="K25" s="6" t="n">
        <v>1</v>
      </c>
      <c r="L25" s="6" t="n">
        <v>1</v>
      </c>
      <c r="M25" s="6" t="n">
        <v>1.431496095</v>
      </c>
      <c r="N25" s="6" t="n">
        <v>1</v>
      </c>
    </row>
    <row r="26" customFormat="false" ht="13.5" hidden="false" customHeight="false" outlineLevel="0" collapsed="false">
      <c r="A26" s="5"/>
      <c r="B26" s="5" t="s">
        <v>18</v>
      </c>
      <c r="C26" s="5" t="n">
        <v>41</v>
      </c>
      <c r="D26" s="5" t="n">
        <v>41</v>
      </c>
      <c r="E26" s="6" t="n">
        <v>1.0042353369</v>
      </c>
      <c r="F26" s="6" t="n">
        <v>0.947325806</v>
      </c>
      <c r="G26" s="6" t="n">
        <v>1.0276167879</v>
      </c>
      <c r="H26" s="6" t="n">
        <v>1</v>
      </c>
      <c r="I26" s="6" t="n">
        <v>1.107342255</v>
      </c>
      <c r="J26" s="6" t="n">
        <v>1</v>
      </c>
      <c r="K26" s="6" t="n">
        <v>1</v>
      </c>
      <c r="L26" s="6" t="n">
        <v>1</v>
      </c>
      <c r="M26" s="6" t="n">
        <v>1.414481143</v>
      </c>
      <c r="N26" s="6" t="n">
        <v>1</v>
      </c>
    </row>
    <row r="27" customFormat="false" ht="13.5" hidden="false" customHeight="false" outlineLevel="0" collapsed="false">
      <c r="A27" s="5"/>
      <c r="B27" s="5" t="s">
        <v>18</v>
      </c>
      <c r="C27" s="5" t="n">
        <v>42</v>
      </c>
      <c r="D27" s="5" t="n">
        <v>42</v>
      </c>
      <c r="E27" s="6" t="n">
        <v>0.9993691422</v>
      </c>
      <c r="F27" s="6" t="n">
        <v>0.946195813</v>
      </c>
      <c r="G27" s="6" t="n">
        <v>1.0165384998</v>
      </c>
      <c r="H27" s="6" t="n">
        <v>1</v>
      </c>
      <c r="I27" s="6" t="n">
        <v>1.098488684</v>
      </c>
      <c r="J27" s="6" t="n">
        <v>1</v>
      </c>
      <c r="K27" s="6" t="n">
        <v>1</v>
      </c>
      <c r="L27" s="6" t="n">
        <v>1</v>
      </c>
      <c r="M27" s="6" t="n">
        <v>1.397668433</v>
      </c>
      <c r="N27" s="6" t="n">
        <v>1</v>
      </c>
    </row>
    <row r="28" customFormat="false" ht="13.5" hidden="false" customHeight="false" outlineLevel="0" collapsed="false">
      <c r="A28" s="5"/>
      <c r="B28" s="5" t="s">
        <v>18</v>
      </c>
      <c r="C28" s="5" t="n">
        <v>43</v>
      </c>
      <c r="D28" s="5" t="n">
        <v>43</v>
      </c>
      <c r="E28" s="6" t="n">
        <v>0.9950432967</v>
      </c>
      <c r="F28" s="6" t="n">
        <v>0.94536477</v>
      </c>
      <c r="G28" s="6" t="n">
        <v>1.0062484146</v>
      </c>
      <c r="H28" s="6" t="n">
        <v>1</v>
      </c>
      <c r="I28" s="6" t="n">
        <v>1.090041964</v>
      </c>
      <c r="J28" s="6" t="n">
        <v>1</v>
      </c>
      <c r="K28" s="6" t="n">
        <v>1</v>
      </c>
      <c r="L28" s="6" t="n">
        <v>1</v>
      </c>
      <c r="M28" s="6" t="n">
        <v>1.381055561</v>
      </c>
      <c r="N28" s="6" t="n">
        <v>1</v>
      </c>
    </row>
    <row r="29" customFormat="false" ht="13.5" hidden="false" customHeight="false" outlineLevel="0" collapsed="false">
      <c r="A29" s="5"/>
      <c r="B29" s="5" t="s">
        <v>18</v>
      </c>
      <c r="C29" s="5" t="n">
        <v>44</v>
      </c>
      <c r="D29" s="5" t="n">
        <v>44</v>
      </c>
      <c r="E29" s="6" t="n">
        <v>0.9910665891</v>
      </c>
      <c r="F29" s="6" t="n">
        <v>0.944831891</v>
      </c>
      <c r="G29" s="6" t="n">
        <v>0.9967249377</v>
      </c>
      <c r="H29" s="6" t="n">
        <v>1</v>
      </c>
      <c r="I29" s="6" t="n">
        <v>1.081993776</v>
      </c>
      <c r="J29" s="6" t="n">
        <v>1</v>
      </c>
      <c r="K29" s="6" t="n">
        <v>1</v>
      </c>
      <c r="L29" s="6" t="n">
        <v>1</v>
      </c>
      <c r="M29" s="6" t="n">
        <v>1.364640152</v>
      </c>
      <c r="N29" s="6" t="n">
        <v>1</v>
      </c>
    </row>
    <row r="30" customFormat="false" ht="13.5" hidden="false" customHeight="false" outlineLevel="0" collapsed="false">
      <c r="A30" s="5"/>
      <c r="B30" s="5" t="s">
        <v>18</v>
      </c>
      <c r="C30" s="5" t="n">
        <v>45</v>
      </c>
      <c r="D30" s="5" t="n">
        <v>45</v>
      </c>
      <c r="E30" s="6" t="n">
        <v>0.987251301</v>
      </c>
      <c r="F30" s="6" t="n">
        <v>0.944596672</v>
      </c>
      <c r="G30" s="6" t="n">
        <v>0.9879482043</v>
      </c>
      <c r="H30" s="6" t="n">
        <v>1</v>
      </c>
      <c r="I30" s="6" t="n">
        <v>1.074336231</v>
      </c>
      <c r="J30" s="6" t="n">
        <v>1</v>
      </c>
      <c r="K30" s="6" t="n">
        <v>1</v>
      </c>
      <c r="L30" s="6" t="n">
        <v>1</v>
      </c>
      <c r="M30" s="6" t="n">
        <v>1.348419858</v>
      </c>
      <c r="N30" s="6" t="n">
        <v>1</v>
      </c>
    </row>
    <row r="31" customFormat="false" ht="13.5" hidden="false" customHeight="false" outlineLevel="0" collapsed="false">
      <c r="A31" s="5"/>
      <c r="B31" s="5" t="s">
        <v>18</v>
      </c>
      <c r="C31" s="5" t="n">
        <v>46</v>
      </c>
      <c r="D31" s="5" t="n">
        <v>46</v>
      </c>
      <c r="E31" s="6" t="n">
        <v>0.9834127263</v>
      </c>
      <c r="F31" s="6" t="n">
        <v>0.944658892</v>
      </c>
      <c r="G31" s="6" t="n">
        <v>0.9799000164</v>
      </c>
      <c r="H31" s="6" t="n">
        <v>1</v>
      </c>
      <c r="I31" s="6" t="n">
        <v>1.067061859</v>
      </c>
      <c r="J31" s="6" t="n">
        <v>1</v>
      </c>
      <c r="K31" s="6" t="n">
        <v>1</v>
      </c>
      <c r="L31" s="6" t="n">
        <v>1</v>
      </c>
      <c r="M31" s="6" t="n">
        <v>1.332392361</v>
      </c>
      <c r="N31" s="6" t="n">
        <v>1</v>
      </c>
    </row>
    <row r="32" customFormat="false" ht="13.5" hidden="false" customHeight="false" outlineLevel="0" collapsed="false">
      <c r="A32" s="5"/>
      <c r="B32" s="5" t="s">
        <v>18</v>
      </c>
      <c r="C32" s="5" t="n">
        <v>47</v>
      </c>
      <c r="D32" s="5" t="n">
        <v>47</v>
      </c>
      <c r="E32" s="6" t="n">
        <v>0.9793690407</v>
      </c>
      <c r="F32" s="6" t="n">
        <v>0.945018608</v>
      </c>
      <c r="G32" s="6" t="n">
        <v>0.972563778</v>
      </c>
      <c r="H32" s="6" t="n">
        <v>1</v>
      </c>
      <c r="I32" s="6" t="n">
        <v>1.060163593</v>
      </c>
      <c r="J32" s="6" t="n">
        <v>1</v>
      </c>
      <c r="K32" s="6" t="n">
        <v>1</v>
      </c>
      <c r="L32" s="6" t="n">
        <v>1</v>
      </c>
      <c r="M32" s="6" t="n">
        <v>1.316555369</v>
      </c>
      <c r="N32" s="6" t="n">
        <v>1</v>
      </c>
    </row>
    <row r="33" customFormat="false" ht="13.5" hidden="false" customHeight="false" outlineLevel="0" collapsed="false">
      <c r="A33" s="5"/>
      <c r="B33" s="5" t="s">
        <v>18</v>
      </c>
      <c r="C33" s="5" t="n">
        <v>48</v>
      </c>
      <c r="D33" s="5" t="n">
        <v>48</v>
      </c>
      <c r="E33" s="6" t="n">
        <v>0.974941515</v>
      </c>
      <c r="F33" s="6" t="n">
        <v>0.945676162</v>
      </c>
      <c r="G33" s="6" t="n">
        <v>0.9659244366</v>
      </c>
      <c r="H33" s="6" t="n">
        <v>1</v>
      </c>
      <c r="I33" s="6" t="n">
        <v>1.053634762</v>
      </c>
      <c r="J33" s="6" t="n">
        <v>1</v>
      </c>
      <c r="K33" s="6" t="n">
        <v>1</v>
      </c>
      <c r="L33" s="6" t="n">
        <v>1</v>
      </c>
      <c r="M33" s="6" t="n">
        <v>1.300906618</v>
      </c>
      <c r="N33" s="6" t="n">
        <v>1</v>
      </c>
    </row>
    <row r="34" customFormat="false" ht="13.5" hidden="false" customHeight="false" outlineLevel="0" collapsed="false">
      <c r="A34" s="5"/>
      <c r="B34" s="5" t="s">
        <v>18</v>
      </c>
      <c r="C34" s="5" t="n">
        <v>49</v>
      </c>
      <c r="D34" s="5" t="n">
        <v>49</v>
      </c>
      <c r="E34" s="6" t="n">
        <v>0.9699550524</v>
      </c>
      <c r="F34" s="6" t="n">
        <v>0.946632174</v>
      </c>
      <c r="G34" s="6" t="n">
        <v>0.9599684346</v>
      </c>
      <c r="H34" s="6" t="n">
        <v>1</v>
      </c>
      <c r="I34" s="6" t="n">
        <v>1.047469074</v>
      </c>
      <c r="J34" s="6" t="n">
        <v>1</v>
      </c>
      <c r="K34" s="6" t="n">
        <v>1</v>
      </c>
      <c r="L34" s="6" t="n">
        <v>1</v>
      </c>
      <c r="M34" s="6" t="n">
        <v>1.285443869</v>
      </c>
      <c r="N34" s="6" t="n">
        <v>1</v>
      </c>
    </row>
    <row r="35" customFormat="false" ht="13.5" hidden="false" customHeight="false" outlineLevel="0" collapsed="false">
      <c r="A35" s="5"/>
      <c r="B35" s="5" t="s">
        <v>18</v>
      </c>
      <c r="C35" s="5" t="n">
        <v>50</v>
      </c>
      <c r="D35" s="5" t="n">
        <v>50</v>
      </c>
      <c r="E35" s="6" t="n">
        <v>0.9642390516</v>
      </c>
      <c r="F35" s="6" t="n">
        <v>0.947887548</v>
      </c>
      <c r="G35" s="6" t="n">
        <v>0.9546836607</v>
      </c>
      <c r="H35" s="6" t="n">
        <v>1</v>
      </c>
      <c r="I35" s="6" t="n">
        <v>1.041660615</v>
      </c>
      <c r="J35" s="6" t="n">
        <v>1</v>
      </c>
      <c r="K35" s="6" t="n">
        <v>1</v>
      </c>
      <c r="L35" s="6" t="n">
        <v>1</v>
      </c>
      <c r="M35" s="6" t="n">
        <v>1.270164913</v>
      </c>
      <c r="N35" s="6" t="n">
        <v>1</v>
      </c>
    </row>
    <row r="36" customFormat="false" ht="13.5" hidden="false" customHeight="false" outlineLevel="0" collapsed="false">
      <c r="A36" s="5"/>
      <c r="B36" s="5" t="s">
        <v>18</v>
      </c>
      <c r="C36" s="5" t="n">
        <v>51</v>
      </c>
      <c r="D36" s="5" t="n">
        <v>51</v>
      </c>
      <c r="E36" s="6" t="n">
        <v>0.9576285651</v>
      </c>
      <c r="F36" s="6" t="n">
        <v>0.949443474</v>
      </c>
      <c r="G36" s="6" t="n">
        <v>0.9500594094</v>
      </c>
      <c r="H36" s="6" t="n">
        <v>1</v>
      </c>
      <c r="I36" s="6" t="n">
        <v>1.036203829</v>
      </c>
      <c r="J36" s="6" t="n">
        <v>1</v>
      </c>
      <c r="K36" s="6" t="n">
        <v>1</v>
      </c>
      <c r="L36" s="6" t="n">
        <v>1</v>
      </c>
      <c r="M36" s="6" t="n">
        <v>1.255067565</v>
      </c>
      <c r="N36" s="6" t="n">
        <v>1</v>
      </c>
    </row>
    <row r="37" customFormat="false" ht="13.5" hidden="false" customHeight="false" outlineLevel="0" collapsed="false">
      <c r="A37" s="5"/>
      <c r="B37" s="5" t="s">
        <v>18</v>
      </c>
      <c r="C37" s="5" t="n">
        <v>52</v>
      </c>
      <c r="D37" s="5" t="n">
        <v>52</v>
      </c>
      <c r="E37" s="6" t="n">
        <v>0.9499657428</v>
      </c>
      <c r="F37" s="6" t="n">
        <v>0.951301424</v>
      </c>
      <c r="G37" s="6" t="n">
        <v>0.946086345</v>
      </c>
      <c r="H37" s="6" t="n">
        <v>1</v>
      </c>
      <c r="I37" s="6" t="n">
        <v>1.031093518</v>
      </c>
      <c r="J37" s="6" t="n">
        <v>1</v>
      </c>
      <c r="K37" s="6" t="n">
        <v>1</v>
      </c>
      <c r="L37" s="6" t="n">
        <v>1</v>
      </c>
      <c r="M37" s="6" t="n">
        <v>1.240149666</v>
      </c>
      <c r="N37" s="6" t="n">
        <v>1</v>
      </c>
    </row>
    <row r="38" customFormat="false" ht="13.5" hidden="false" customHeight="false" outlineLevel="0" collapsed="false">
      <c r="A38" s="5"/>
      <c r="B38" s="5" t="s">
        <v>18</v>
      </c>
      <c r="C38" s="5" t="n">
        <v>53</v>
      </c>
      <c r="D38" s="5" t="n">
        <v>53</v>
      </c>
      <c r="E38" s="6" t="n">
        <v>0.941101533</v>
      </c>
      <c r="F38" s="6" t="n">
        <v>0.953463161</v>
      </c>
      <c r="G38" s="6" t="n">
        <v>0.942756471</v>
      </c>
      <c r="H38" s="6" t="n">
        <v>1</v>
      </c>
      <c r="I38" s="6" t="n">
        <v>1.026324828</v>
      </c>
      <c r="J38" s="6" t="n">
        <v>1</v>
      </c>
      <c r="K38" s="6" t="n">
        <v>1</v>
      </c>
      <c r="L38" s="6" t="n">
        <v>1</v>
      </c>
      <c r="M38" s="6" t="n">
        <v>1.225409083</v>
      </c>
      <c r="N38" s="6" t="n">
        <v>1</v>
      </c>
    </row>
    <row r="39" customFormat="false" ht="13.5" hidden="false" customHeight="false" outlineLevel="0" collapsed="false">
      <c r="A39" s="5"/>
      <c r="B39" s="5" t="s">
        <v>18</v>
      </c>
      <c r="C39" s="5" t="n">
        <v>54</v>
      </c>
      <c r="D39" s="5" t="n">
        <v>54</v>
      </c>
      <c r="E39" s="6" t="n">
        <v>0.9308975976</v>
      </c>
      <c r="F39" s="6" t="n">
        <v>0.955930738</v>
      </c>
      <c r="G39" s="6" t="n">
        <v>0.9400631013</v>
      </c>
      <c r="H39" s="6" t="n">
        <v>1</v>
      </c>
      <c r="I39" s="6" t="n">
        <v>1.021893246</v>
      </c>
      <c r="J39" s="6" t="n">
        <v>1</v>
      </c>
      <c r="K39" s="6" t="n">
        <v>1</v>
      </c>
      <c r="L39" s="6" t="n">
        <v>1</v>
      </c>
      <c r="M39" s="6" t="n">
        <v>1.210843708</v>
      </c>
      <c r="N39" s="6" t="n">
        <v>1</v>
      </c>
    </row>
    <row r="40" customFormat="false" ht="13.5" hidden="false" customHeight="false" outlineLevel="0" collapsed="false">
      <c r="A40" s="5"/>
      <c r="B40" s="5" t="s">
        <v>18</v>
      </c>
      <c r="C40" s="5" t="n">
        <v>55</v>
      </c>
      <c r="D40" s="5" t="n">
        <v>55</v>
      </c>
      <c r="E40" s="6" t="n">
        <v>0.91922841</v>
      </c>
      <c r="F40" s="6" t="n">
        <v>0.958706503</v>
      </c>
      <c r="G40" s="6" t="n">
        <v>0.9380008413</v>
      </c>
      <c r="H40" s="6" t="n">
        <v>1</v>
      </c>
      <c r="I40" s="6" t="n">
        <v>1.017794588</v>
      </c>
      <c r="J40" s="6" t="n">
        <v>1</v>
      </c>
      <c r="K40" s="6" t="n">
        <v>1</v>
      </c>
      <c r="L40" s="6" t="n">
        <v>1</v>
      </c>
      <c r="M40" s="6" t="n">
        <v>1.19645146</v>
      </c>
      <c r="N40" s="6" t="n">
        <v>1</v>
      </c>
    </row>
    <row r="41" customFormat="false" ht="13.5" hidden="false" customHeight="false" outlineLevel="0" collapsed="false">
      <c r="A41" s="5"/>
      <c r="B41" s="5" t="s">
        <v>18</v>
      </c>
      <c r="C41" s="5" t="n">
        <v>56</v>
      </c>
      <c r="D41" s="5" t="n">
        <v>56</v>
      </c>
      <c r="E41" s="6" t="n">
        <v>0.9059834709</v>
      </c>
      <c r="F41" s="6" t="n">
        <v>0.961793102</v>
      </c>
      <c r="G41" s="6" t="n">
        <v>0.9365655663</v>
      </c>
      <c r="H41" s="6" t="n">
        <v>1</v>
      </c>
      <c r="I41" s="6" t="n">
        <v>1.014024996</v>
      </c>
      <c r="J41" s="6" t="n">
        <v>1</v>
      </c>
      <c r="K41" s="6" t="n">
        <v>1</v>
      </c>
      <c r="L41" s="6" t="n">
        <v>1</v>
      </c>
      <c r="M41" s="6" t="n">
        <v>1.182230279</v>
      </c>
      <c r="N41" s="6" t="n">
        <v>1</v>
      </c>
    </row>
    <row r="42" customFormat="false" ht="13.5" hidden="false" customHeight="false" outlineLevel="0" collapsed="false">
      <c r="A42" s="5"/>
      <c r="B42" s="5" t="s">
        <v>18</v>
      </c>
      <c r="C42" s="5" t="n">
        <v>57</v>
      </c>
      <c r="D42" s="5" t="n">
        <v>57</v>
      </c>
      <c r="E42" s="6" t="n">
        <v>0.907108849746</v>
      </c>
      <c r="F42" s="6" t="n">
        <v>0.965193483</v>
      </c>
      <c r="G42" s="6" t="n">
        <v>0.9357544098</v>
      </c>
      <c r="H42" s="6" t="n">
        <v>1</v>
      </c>
      <c r="I42" s="6" t="n">
        <v>1.01058093</v>
      </c>
      <c r="J42" s="6" t="n">
        <v>1</v>
      </c>
      <c r="K42" s="6" t="n">
        <v>1</v>
      </c>
      <c r="L42" s="6" t="n">
        <v>1</v>
      </c>
      <c r="M42" s="6" t="n">
        <v>1.168178134</v>
      </c>
      <c r="N42" s="6" t="n">
        <v>1</v>
      </c>
    </row>
    <row r="43" customFormat="false" ht="13.5" hidden="false" customHeight="false" outlineLevel="0" collapsed="false">
      <c r="A43" s="5"/>
      <c r="B43" s="5" t="s">
        <v>18</v>
      </c>
      <c r="C43" s="5" t="n">
        <v>58</v>
      </c>
      <c r="D43" s="5" t="n">
        <v>58</v>
      </c>
      <c r="E43" s="6" t="n">
        <v>0.900645587451</v>
      </c>
      <c r="F43" s="6" t="n">
        <v>0.968910899</v>
      </c>
      <c r="G43" s="6" t="n">
        <v>0.9355657509</v>
      </c>
      <c r="H43" s="6" t="n">
        <v>1</v>
      </c>
      <c r="I43" s="6" t="n">
        <v>1.007459164</v>
      </c>
      <c r="J43" s="6" t="n">
        <v>1</v>
      </c>
      <c r="K43" s="6" t="n">
        <v>1</v>
      </c>
      <c r="L43" s="6" t="n">
        <v>1</v>
      </c>
      <c r="M43" s="6" t="n">
        <v>1.154293014</v>
      </c>
      <c r="N43" s="6" t="n">
        <v>1</v>
      </c>
    </row>
    <row r="44" customFormat="false" ht="13.5" hidden="false" customHeight="false" outlineLevel="0" collapsed="false">
      <c r="A44" s="5"/>
      <c r="B44" s="5" t="s">
        <v>18</v>
      </c>
      <c r="C44" s="5" t="n">
        <v>59</v>
      </c>
      <c r="D44" s="5" t="n">
        <v>59</v>
      </c>
      <c r="E44" s="6" t="n">
        <v>0.89876055843</v>
      </c>
      <c r="F44" s="6" t="n">
        <v>0.972948919</v>
      </c>
      <c r="G44" s="6" t="n">
        <v>0.9359992143</v>
      </c>
      <c r="H44" s="6" t="n">
        <v>1</v>
      </c>
      <c r="I44" s="6" t="n">
        <v>1.00465678</v>
      </c>
      <c r="J44" s="6" t="n">
        <v>1</v>
      </c>
      <c r="K44" s="6" t="n">
        <v>1</v>
      </c>
      <c r="L44" s="6" t="n">
        <v>1</v>
      </c>
      <c r="M44" s="6" t="n">
        <v>1.140572934</v>
      </c>
      <c r="N44" s="6" t="n">
        <v>1</v>
      </c>
    </row>
    <row r="45" customFormat="false" ht="13.5" hidden="false" customHeight="false" outlineLevel="0" collapsed="false">
      <c r="A45" s="5"/>
      <c r="B45" s="5" t="s">
        <v>18</v>
      </c>
      <c r="C45" s="5" t="n">
        <v>60</v>
      </c>
      <c r="D45" s="5" t="n">
        <v>60</v>
      </c>
      <c r="E45" s="6" t="n">
        <v>0.885830677398</v>
      </c>
      <c r="F45" s="6" t="n">
        <v>0.977311426</v>
      </c>
      <c r="G45" s="6" t="n">
        <v>0.9370556658</v>
      </c>
      <c r="H45" s="6" t="n">
        <v>1</v>
      </c>
      <c r="I45" s="6" t="n">
        <v>1.002171164</v>
      </c>
      <c r="J45" s="6" t="n">
        <v>1</v>
      </c>
      <c r="K45" s="6" t="n">
        <v>1</v>
      </c>
      <c r="L45" s="6" t="n">
        <v>1</v>
      </c>
      <c r="M45" s="6" t="n">
        <v>1.127015933</v>
      </c>
      <c r="N45" s="6" t="n">
        <v>1</v>
      </c>
    </row>
    <row r="46" customFormat="false" ht="13.5" hidden="false" customHeight="false" outlineLevel="0" collapsed="false">
      <c r="A46" s="5"/>
      <c r="B46" s="5" t="s">
        <v>18</v>
      </c>
      <c r="C46" s="5" t="n">
        <v>61</v>
      </c>
      <c r="D46" s="5" t="n">
        <v>61</v>
      </c>
      <c r="E46" s="6" t="n">
        <v>0.889120450044</v>
      </c>
      <c r="F46" s="6" t="n">
        <v>0.978433531</v>
      </c>
      <c r="G46" s="6" t="n">
        <v>0.9387372132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1.113620073</v>
      </c>
      <c r="N46" s="6" t="n">
        <v>1</v>
      </c>
    </row>
    <row r="47" customFormat="false" ht="13.5" hidden="false" customHeight="false" outlineLevel="0" collapsed="false">
      <c r="A47" s="5"/>
      <c r="B47" s="5" t="s">
        <v>18</v>
      </c>
      <c r="C47" s="5" t="n">
        <v>62</v>
      </c>
      <c r="D47" s="5" t="n">
        <v>62</v>
      </c>
      <c r="E47" s="6" t="n">
        <v>0.892422439614</v>
      </c>
      <c r="F47" s="6" t="n">
        <v>0.979556924</v>
      </c>
      <c r="G47" s="6" t="n">
        <v>0.9138030903</v>
      </c>
      <c r="H47" s="6" t="n">
        <v>1</v>
      </c>
      <c r="I47" s="6" t="n">
        <v>0.984139941</v>
      </c>
      <c r="J47" s="6" t="n">
        <v>1</v>
      </c>
      <c r="K47" s="6" t="n">
        <v>1</v>
      </c>
      <c r="L47" s="6" t="n">
        <v>1</v>
      </c>
      <c r="M47" s="6" t="n">
        <v>1.100383437</v>
      </c>
      <c r="N47" s="6" t="n">
        <v>1</v>
      </c>
    </row>
    <row r="48" customFormat="false" ht="13.5" hidden="false" customHeight="false" outlineLevel="0" collapsed="false">
      <c r="A48" s="5"/>
      <c r="B48" s="5" t="s">
        <v>18</v>
      </c>
      <c r="C48" s="5" t="n">
        <v>63</v>
      </c>
      <c r="D48" s="5" t="n">
        <v>63</v>
      </c>
      <c r="E48" s="6" t="n">
        <v>0.895736692854</v>
      </c>
      <c r="F48" s="6" t="n">
        <v>0.980681607</v>
      </c>
      <c r="G48" s="6" t="n">
        <v>0.8905895586</v>
      </c>
      <c r="H48" s="6" t="n">
        <v>1</v>
      </c>
      <c r="I48" s="6" t="n">
        <v>0.970165225</v>
      </c>
      <c r="J48" s="6" t="n">
        <v>1</v>
      </c>
      <c r="K48" s="6" t="n">
        <v>1</v>
      </c>
      <c r="L48" s="6" t="n">
        <v>1</v>
      </c>
      <c r="M48" s="6" t="n">
        <v>1.087304134</v>
      </c>
      <c r="N48" s="6" t="n">
        <v>1</v>
      </c>
    </row>
    <row r="49" customFormat="false" ht="13.5" hidden="false" customHeight="false" outlineLevel="0" collapsed="false">
      <c r="A49" s="5"/>
      <c r="B49" s="5" t="s">
        <v>18</v>
      </c>
      <c r="C49" s="5" t="n">
        <v>64</v>
      </c>
      <c r="D49" s="5" t="n">
        <v>64</v>
      </c>
      <c r="E49" s="6" t="n">
        <v>0.899063254602</v>
      </c>
      <c r="F49" s="6" t="n">
        <v>0.981807581</v>
      </c>
      <c r="G49" s="6" t="n">
        <v>0.868998375</v>
      </c>
      <c r="H49" s="6" t="n">
        <v>1</v>
      </c>
      <c r="I49" s="6" t="n">
        <v>0.958002268</v>
      </c>
      <c r="J49" s="6" t="n">
        <v>1</v>
      </c>
      <c r="K49" s="6" t="n">
        <v>1</v>
      </c>
      <c r="L49" s="6" t="n">
        <v>1</v>
      </c>
      <c r="M49" s="6" t="n">
        <v>1.074380293</v>
      </c>
      <c r="N49" s="6" t="n">
        <v>1</v>
      </c>
    </row>
    <row r="50" customFormat="false" ht="13.5" hidden="false" customHeight="false" outlineLevel="0" collapsed="false">
      <c r="A50" s="5"/>
      <c r="B50" s="5" t="s">
        <v>18</v>
      </c>
      <c r="C50" s="5" t="n">
        <v>65</v>
      </c>
      <c r="D50" s="5" t="n">
        <v>65</v>
      </c>
      <c r="E50" s="6" t="n">
        <v>0.902402169696</v>
      </c>
      <c r="F50" s="6" t="n">
        <v>0.982934848</v>
      </c>
      <c r="G50" s="6" t="n">
        <v>0.8489394531</v>
      </c>
      <c r="H50" s="6" t="n">
        <v>1</v>
      </c>
      <c r="I50" s="6" t="n">
        <v>0.947587577</v>
      </c>
      <c r="J50" s="6" t="n">
        <v>1</v>
      </c>
      <c r="K50" s="6" t="n">
        <v>1</v>
      </c>
      <c r="L50" s="6" t="n">
        <v>1</v>
      </c>
      <c r="M50" s="6" t="n">
        <v>1.061610066</v>
      </c>
      <c r="N50" s="6" t="n">
        <v>1</v>
      </c>
    </row>
    <row r="51" customFormat="false" ht="13.5" hidden="false" customHeight="false" outlineLevel="0" collapsed="false">
      <c r="A51" s="5"/>
      <c r="B51" s="5" t="s">
        <v>18</v>
      </c>
      <c r="C51" s="5" t="n">
        <v>66</v>
      </c>
      <c r="D51" s="5" t="n">
        <v>66</v>
      </c>
      <c r="E51" s="6" t="n">
        <v>0.905753484882</v>
      </c>
      <c r="F51" s="6" t="n">
        <v>0.984063409</v>
      </c>
      <c r="G51" s="6" t="n">
        <v>0.8303302476</v>
      </c>
      <c r="H51" s="6" t="n">
        <v>1</v>
      </c>
      <c r="I51" s="6" t="n">
        <v>0.938867202</v>
      </c>
      <c r="J51" s="6" t="n">
        <v>1</v>
      </c>
      <c r="K51" s="6" t="n">
        <v>1</v>
      </c>
      <c r="L51" s="6" t="n">
        <v>1</v>
      </c>
      <c r="M51" s="6" t="n">
        <v>1.048991629</v>
      </c>
      <c r="N51" s="6" t="n">
        <v>1</v>
      </c>
    </row>
    <row r="52" customFormat="false" ht="13.5" hidden="false" customHeight="false" outlineLevel="0" collapsed="false">
      <c r="A52" s="5"/>
      <c r="B52" s="5" t="s">
        <v>18</v>
      </c>
      <c r="C52" s="5" t="n">
        <v>67</v>
      </c>
      <c r="D52" s="5" t="n">
        <v>67</v>
      </c>
      <c r="E52" s="6" t="n">
        <v>0.926270402508</v>
      </c>
      <c r="F52" s="6" t="n">
        <v>0.985193266</v>
      </c>
      <c r="G52" s="6" t="n">
        <v>0.8130951846</v>
      </c>
      <c r="H52" s="6" t="n">
        <v>1</v>
      </c>
      <c r="I52" s="6" t="n">
        <v>0.931796264</v>
      </c>
      <c r="J52" s="6" t="n">
        <v>1</v>
      </c>
      <c r="K52" s="6" t="n">
        <v>1</v>
      </c>
      <c r="L52" s="6" t="n">
        <v>1</v>
      </c>
      <c r="M52" s="6" t="n">
        <v>1.036523175</v>
      </c>
      <c r="N52" s="6" t="n">
        <v>1</v>
      </c>
    </row>
    <row r="53" customFormat="false" ht="13.5" hidden="false" customHeight="false" outlineLevel="0" collapsed="false">
      <c r="A53" s="5"/>
      <c r="B53" s="5" t="s">
        <v>18</v>
      </c>
      <c r="C53" s="5" t="n">
        <v>68</v>
      </c>
      <c r="D53" s="5" t="n">
        <v>68</v>
      </c>
      <c r="E53" s="6" t="n">
        <v>0.938318788359</v>
      </c>
      <c r="F53" s="6" t="n">
        <v>0.98632442</v>
      </c>
      <c r="G53" s="6" t="n">
        <v>0.7971651549</v>
      </c>
      <c r="H53" s="6" t="n">
        <v>1</v>
      </c>
      <c r="I53" s="6" t="n">
        <v>0.926338576</v>
      </c>
      <c r="J53" s="6" t="n">
        <v>1</v>
      </c>
      <c r="K53" s="6" t="n">
        <v>1</v>
      </c>
      <c r="L53" s="6" t="n">
        <v>1</v>
      </c>
      <c r="M53" s="6" t="n">
        <v>1.024202924</v>
      </c>
      <c r="N53" s="6" t="n">
        <v>1</v>
      </c>
    </row>
    <row r="54" customFormat="false" ht="13.5" hidden="false" customHeight="false" outlineLevel="0" collapsed="false">
      <c r="A54" s="5"/>
      <c r="B54" s="5" t="s">
        <v>18</v>
      </c>
      <c r="C54" s="5" t="n">
        <v>69</v>
      </c>
      <c r="D54" s="5" t="n">
        <v>69</v>
      </c>
      <c r="E54" s="6" t="n">
        <v>0.95044388868</v>
      </c>
      <c r="F54" s="6" t="n">
        <v>0.987456873</v>
      </c>
      <c r="G54" s="6" t="n">
        <v>0.7824770595</v>
      </c>
      <c r="H54" s="6" t="n">
        <v>1</v>
      </c>
      <c r="I54" s="6" t="n">
        <v>0.922466328</v>
      </c>
      <c r="J54" s="6" t="n">
        <v>1</v>
      </c>
      <c r="K54" s="6" t="n">
        <v>1</v>
      </c>
      <c r="L54" s="6" t="n">
        <v>1</v>
      </c>
      <c r="M54" s="6" t="n">
        <v>1.012029112</v>
      </c>
      <c r="N54" s="6" t="n">
        <v>1</v>
      </c>
    </row>
    <row r="55" customFormat="false" ht="13.5" hidden="false" customHeight="false" outlineLevel="0" collapsed="false">
      <c r="A55" s="5"/>
      <c r="B55" s="5" t="s">
        <v>18</v>
      </c>
      <c r="C55" s="5" t="n">
        <v>70</v>
      </c>
      <c r="D55" s="5" t="n">
        <v>70</v>
      </c>
      <c r="E55" s="6" t="n">
        <v>0.962646107283</v>
      </c>
      <c r="F55" s="6" t="n">
        <v>0.988590626</v>
      </c>
      <c r="G55" s="6" t="n">
        <v>0.7689733848</v>
      </c>
      <c r="H55" s="6" t="n">
        <v>1</v>
      </c>
      <c r="I55" s="6" t="n">
        <v>0.920159858</v>
      </c>
      <c r="J55" s="6" t="n">
        <v>1</v>
      </c>
      <c r="K55" s="6" t="n">
        <v>1</v>
      </c>
      <c r="L55" s="6" t="n">
        <v>1</v>
      </c>
      <c r="M55" s="6" t="n">
        <v>1</v>
      </c>
      <c r="N55" s="6" t="n">
        <v>1</v>
      </c>
    </row>
    <row r="56" customFormat="false" ht="13.5" hidden="false" customHeight="false" outlineLevel="0" collapsed="false">
      <c r="A56" s="5"/>
      <c r="B56" s="5" t="s">
        <v>18</v>
      </c>
      <c r="C56" s="5" t="n">
        <v>71</v>
      </c>
      <c r="D56" s="5" t="n">
        <v>71</v>
      </c>
      <c r="E56" s="6" t="n">
        <v>1.08325094416</v>
      </c>
      <c r="F56" s="6" t="n">
        <v>0.989725681</v>
      </c>
      <c r="G56" s="6" t="n">
        <v>0.840668708</v>
      </c>
      <c r="H56" s="6" t="n">
        <v>1</v>
      </c>
      <c r="I56" s="6" t="n">
        <v>0.919407478</v>
      </c>
      <c r="J56" s="6" t="n">
        <v>1</v>
      </c>
      <c r="K56" s="6" t="n">
        <v>1</v>
      </c>
      <c r="L56" s="6" t="n">
        <v>1</v>
      </c>
      <c r="M56" s="6" t="n">
        <v>1</v>
      </c>
      <c r="N56" s="6" t="n">
        <v>1</v>
      </c>
    </row>
    <row r="57" customFormat="false" ht="13.5" hidden="false" customHeight="false" outlineLevel="0" collapsed="false">
      <c r="A57" s="5"/>
      <c r="B57" s="5" t="s">
        <v>18</v>
      </c>
      <c r="C57" s="5" t="n">
        <v>72</v>
      </c>
      <c r="D57" s="5" t="n">
        <v>72</v>
      </c>
      <c r="E57" s="6" t="n">
        <v>1.0969816938</v>
      </c>
      <c r="F57" s="6" t="n">
        <v>0.990862039</v>
      </c>
      <c r="G57" s="6" t="n">
        <v>0.82812778</v>
      </c>
      <c r="H57" s="6" t="n">
        <v>1</v>
      </c>
      <c r="I57" s="6" t="n">
        <v>0.92020538</v>
      </c>
      <c r="J57" s="6" t="n">
        <v>1</v>
      </c>
      <c r="K57" s="6" t="n">
        <v>1</v>
      </c>
      <c r="L57" s="6" t="n">
        <v>1</v>
      </c>
      <c r="M57" s="6" t="n">
        <v>1</v>
      </c>
      <c r="N57" s="6" t="n">
        <v>1</v>
      </c>
    </row>
    <row r="58" customFormat="false" ht="13.5" hidden="false" customHeight="false" outlineLevel="0" collapsed="false">
      <c r="A58" s="5"/>
      <c r="B58" s="5" t="s">
        <v>18</v>
      </c>
      <c r="C58" s="5" t="n">
        <v>73</v>
      </c>
      <c r="D58" s="5" t="n">
        <v>73</v>
      </c>
      <c r="E58" s="6" t="n">
        <v>1.11079948824</v>
      </c>
      <c r="F58" s="6" t="n">
        <v>0.991999702</v>
      </c>
      <c r="G58" s="6" t="n">
        <v>0.816744491</v>
      </c>
      <c r="H58" s="6" t="n">
        <v>1</v>
      </c>
      <c r="I58" s="6" t="n">
        <v>0.922557602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</row>
    <row r="59" customFormat="false" ht="13.5" hidden="false" customHeight="false" outlineLevel="0" collapsed="false">
      <c r="A59" s="5"/>
      <c r="B59" s="5" t="s">
        <v>18</v>
      </c>
      <c r="C59" s="5" t="n">
        <v>74</v>
      </c>
      <c r="D59" s="5" t="n">
        <v>74</v>
      </c>
      <c r="E59" s="6" t="n">
        <v>1.13448482676</v>
      </c>
      <c r="F59" s="6" t="n">
        <v>0.993138671</v>
      </c>
      <c r="G59" s="6" t="n">
        <v>0.806476026</v>
      </c>
      <c r="H59" s="6" t="n">
        <v>1</v>
      </c>
      <c r="I59" s="6" t="n">
        <v>0.926476065</v>
      </c>
      <c r="J59" s="6" t="n">
        <v>1</v>
      </c>
      <c r="K59" s="6" t="n">
        <v>1</v>
      </c>
      <c r="L59" s="6" t="n">
        <v>1</v>
      </c>
      <c r="M59" s="6" t="n">
        <v>1</v>
      </c>
      <c r="N59" s="6" t="n">
        <v>1</v>
      </c>
    </row>
    <row r="60" customFormat="false" ht="13.5" hidden="false" customHeight="false" outlineLevel="0" collapsed="false">
      <c r="A60" s="5"/>
      <c r="B60" s="5" t="s">
        <v>18</v>
      </c>
      <c r="C60" s="5" t="n">
        <v>75</v>
      </c>
      <c r="D60" s="5" t="n">
        <v>75</v>
      </c>
      <c r="E60" s="6" t="n">
        <v>1.1583307691</v>
      </c>
      <c r="F60" s="6" t="n">
        <v>0.994278948</v>
      </c>
      <c r="G60" s="6" t="n">
        <v>0.797284091</v>
      </c>
      <c r="H60" s="6" t="n">
        <v>1</v>
      </c>
      <c r="I60" s="6" t="n">
        <v>0.931980668</v>
      </c>
      <c r="J60" s="6" t="n">
        <v>1</v>
      </c>
      <c r="K60" s="6" t="n">
        <v>1</v>
      </c>
      <c r="L60" s="6" t="n">
        <v>1</v>
      </c>
      <c r="M60" s="6" t="n">
        <v>1</v>
      </c>
      <c r="N60" s="6" t="n">
        <v>1</v>
      </c>
    </row>
    <row r="61" customFormat="false" ht="13.5" hidden="false" customHeight="false" outlineLevel="0" collapsed="false">
      <c r="A61" s="5"/>
      <c r="B61" s="5" t="s">
        <v>18</v>
      </c>
      <c r="C61" s="5" t="n">
        <v>76</v>
      </c>
      <c r="D61" s="5" t="n">
        <v>76</v>
      </c>
      <c r="E61" s="6" t="n">
        <v>1.1823381804</v>
      </c>
      <c r="F61" s="6" t="n">
        <v>0.995420534</v>
      </c>
      <c r="G61" s="6" t="n">
        <v>0.789134668</v>
      </c>
      <c r="H61" s="6" t="n">
        <v>1</v>
      </c>
      <c r="I61" s="6" t="n">
        <v>0.939099461</v>
      </c>
      <c r="J61" s="6" t="n">
        <v>1</v>
      </c>
      <c r="K61" s="6" t="n">
        <v>1</v>
      </c>
      <c r="L61" s="6" t="n">
        <v>1</v>
      </c>
      <c r="M61" s="6" t="n">
        <v>1</v>
      </c>
      <c r="N61" s="6" t="n">
        <v>1</v>
      </c>
    </row>
    <row r="62" customFormat="false" ht="13.5" hidden="false" customHeight="false" outlineLevel="0" collapsed="false">
      <c r="A62" s="5"/>
      <c r="B62" s="5" t="s">
        <v>18</v>
      </c>
      <c r="C62" s="5" t="n">
        <v>77</v>
      </c>
      <c r="D62" s="5" t="n">
        <v>77</v>
      </c>
      <c r="E62" s="6" t="n">
        <v>1.22628675196</v>
      </c>
      <c r="F62" s="6" t="n">
        <v>0.996563431</v>
      </c>
      <c r="G62" s="6" t="n">
        <v>0.781997809</v>
      </c>
      <c r="H62" s="6" t="n">
        <v>1</v>
      </c>
      <c r="I62" s="6" t="n">
        <v>0.947868884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1</v>
      </c>
    </row>
    <row r="63" customFormat="false" ht="13.5" hidden="false" customHeight="false" outlineLevel="0" collapsed="false">
      <c r="A63" s="5"/>
      <c r="B63" s="5" t="s">
        <v>18</v>
      </c>
      <c r="C63" s="5" t="n">
        <v>78</v>
      </c>
      <c r="D63" s="5" t="n">
        <v>78</v>
      </c>
      <c r="E63" s="6" t="n">
        <v>1.27054544512</v>
      </c>
      <c r="F63" s="6" t="n">
        <v>0.997707639</v>
      </c>
      <c r="G63" s="6" t="n">
        <v>0.775847451</v>
      </c>
      <c r="H63" s="6" t="n">
        <v>1</v>
      </c>
      <c r="I63" s="6" t="n">
        <v>0.958334075</v>
      </c>
      <c r="J63" s="6" t="n">
        <v>1</v>
      </c>
      <c r="K63" s="6" t="n">
        <v>1</v>
      </c>
      <c r="L63" s="6" t="n">
        <v>1</v>
      </c>
      <c r="M63" s="6" t="n">
        <v>1</v>
      </c>
      <c r="N63" s="6" t="n">
        <v>1</v>
      </c>
    </row>
    <row r="64" customFormat="false" ht="13.5" hidden="false" customHeight="false" outlineLevel="0" collapsed="false">
      <c r="A64" s="5"/>
      <c r="B64" s="5" t="s">
        <v>18</v>
      </c>
      <c r="C64" s="5" t="n">
        <v>79</v>
      </c>
      <c r="D64" s="5" t="n">
        <v>79</v>
      </c>
      <c r="E64" s="6" t="n">
        <v>1.295189961</v>
      </c>
      <c r="F64" s="6" t="n">
        <v>0.998853162</v>
      </c>
      <c r="G64" s="6" t="n">
        <v>0.770661258</v>
      </c>
      <c r="H64" s="6" t="n">
        <v>1</v>
      </c>
      <c r="I64" s="6" t="n">
        <v>0.970549257</v>
      </c>
      <c r="J64" s="6" t="n">
        <v>1</v>
      </c>
      <c r="K64" s="6" t="n">
        <v>1</v>
      </c>
      <c r="L64" s="6" t="n">
        <v>1</v>
      </c>
      <c r="M64" s="6" t="n">
        <v>1</v>
      </c>
      <c r="N64" s="6" t="n">
        <v>1</v>
      </c>
    </row>
    <row r="65" customFormat="false" ht="13.5" hidden="false" customHeight="false" outlineLevel="0" collapsed="false">
      <c r="A65" s="5"/>
      <c r="B65" s="5" t="s">
        <v>18</v>
      </c>
      <c r="C65" s="5" t="n">
        <v>80</v>
      </c>
      <c r="D65" s="5" t="n">
        <v>998</v>
      </c>
      <c r="E65" s="6" t="n">
        <v>1.34</v>
      </c>
      <c r="F65" s="6" t="n">
        <v>1</v>
      </c>
      <c r="G65" s="6" t="n">
        <v>1</v>
      </c>
      <c r="H65" s="6" t="n">
        <v>1</v>
      </c>
      <c r="I65" s="6" t="n">
        <v>1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1</v>
      </c>
    </row>
    <row r="66" customFormat="false" ht="13.5" hidden="false" customHeight="false" outlineLevel="0" collapsed="false">
      <c r="A66" s="5"/>
      <c r="B66" s="5" t="s">
        <v>18</v>
      </c>
      <c r="C66" s="5" t="n">
        <v>999</v>
      </c>
      <c r="D66" s="5" t="n">
        <v>999</v>
      </c>
      <c r="E66" s="6" t="n">
        <v>1</v>
      </c>
      <c r="F66" s="6" t="n">
        <v>1</v>
      </c>
      <c r="G66" s="6" t="n">
        <v>1</v>
      </c>
      <c r="H66" s="6" t="n">
        <v>1</v>
      </c>
      <c r="I66" s="6" t="n">
        <v>1</v>
      </c>
      <c r="J66" s="6" t="n">
        <v>1</v>
      </c>
      <c r="K66" s="6" t="n">
        <v>1</v>
      </c>
      <c r="L66" s="6" t="n">
        <v>1</v>
      </c>
      <c r="M66" s="6" t="n">
        <v>1</v>
      </c>
      <c r="N66" s="6" t="n">
        <v>1</v>
      </c>
    </row>
  </sheetData>
  <conditionalFormatting sqref="F66:G66 I2:N66">
    <cfRule type="expression" priority="2" aboveAverage="0" equalAverage="0" bottom="0" percent="0" rank="0" text="" dxfId="16">
      <formula>ISBLANK($E2)</formula>
    </cfRule>
  </conditionalFormatting>
  <conditionalFormatting sqref="E2:G65">
    <cfRule type="expression" priority="3" aboveAverage="0" equalAverage="0" bottom="0" percent="0" rank="0" text="" dxfId="17">
      <formula>ISBLANK($E2)</formula>
    </cfRule>
  </conditionalFormatting>
  <conditionalFormatting sqref="B2:B66">
    <cfRule type="expression" priority="4" aboveAverage="0" equalAverage="0" bottom="0" percent="0" rank="0" text="" dxfId="18">
      <formula>ISBLANK($B2)</formula>
    </cfRule>
  </conditionalFormatting>
  <conditionalFormatting sqref="E66">
    <cfRule type="expression" priority="5" aboveAverage="0" equalAverage="0" bottom="0" percent="0" rank="0" text="" dxfId="19">
      <formula>ISBLANK($E66)</formula>
    </cfRule>
  </conditionalFormatting>
  <conditionalFormatting sqref="H2:H66">
    <cfRule type="expression" priority="6" aboveAverage="0" equalAverage="0" bottom="0" percent="0" rank="0" text="" dxfId="20">
      <formula>ISBLANK($E2)</formula>
    </cfRule>
  </conditionalFormatting>
  <dataValidations count="1">
    <dataValidation allowBlank="true" errorStyle="stop" operator="between" showDropDown="false" showErrorMessage="false" showInputMessage="false" sqref="B2:B66" type="list">
      <formula1>LOV_RatingListID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49" activeCellId="0" sqref="E2:N66"/>
    </sheetView>
  </sheetViews>
  <sheetFormatPr defaultColWidth="9.00390625" defaultRowHeight="9.75" zeroHeight="false" outlineLevelRow="0" outlineLevelCol="0"/>
  <cols>
    <col collapsed="false" customWidth="true" hidden="false" outlineLevel="0" max="1" min="1" style="1" width="18.2"/>
    <col collapsed="false" customWidth="true" hidden="false" outlineLevel="0" max="2" min="2" style="1" width="21.6"/>
    <col collapsed="false" customWidth="true" hidden="false" outlineLevel="0" max="3" min="3" style="1" width="15.5"/>
    <col collapsed="false" customWidth="false" hidden="false" outlineLevel="0" max="16384" min="4" style="1" width="9"/>
  </cols>
  <sheetData>
    <row r="1" customFormat="false" ht="9.75" hidden="false" customHeight="false" outlineLevel="0" collapsed="false">
      <c r="A1" s="9" t="s">
        <v>32</v>
      </c>
      <c r="B1" s="9" t="s">
        <v>33</v>
      </c>
      <c r="C1" s="9" t="s">
        <v>34</v>
      </c>
    </row>
    <row r="2" customFormat="false" ht="9.75" hidden="false" customHeight="false" outlineLevel="0" collapsed="false">
      <c r="A2" s="9" t="s">
        <v>32</v>
      </c>
      <c r="B2" s="9" t="s">
        <v>35</v>
      </c>
      <c r="C2" s="9" t="s">
        <v>36</v>
      </c>
    </row>
    <row r="3" customFormat="false" ht="9.75" hidden="false" customHeight="false" outlineLevel="0" collapsed="false">
      <c r="A3" s="9" t="s">
        <v>37</v>
      </c>
      <c r="B3" s="9" t="s">
        <v>38</v>
      </c>
      <c r="C3" s="9" t="s">
        <v>39</v>
      </c>
    </row>
    <row r="4" customFormat="false" ht="9.75" hidden="false" customHeight="false" outlineLevel="0" collapsed="false">
      <c r="A4" s="9" t="s">
        <v>37</v>
      </c>
      <c r="B4" s="9" t="s">
        <v>40</v>
      </c>
      <c r="C4" s="9" t="s">
        <v>41</v>
      </c>
    </row>
    <row r="5" customFormat="false" ht="9.75" hidden="false" customHeight="false" outlineLevel="0" collapsed="false">
      <c r="A5" s="9" t="s">
        <v>37</v>
      </c>
      <c r="B5" s="9" t="s">
        <v>42</v>
      </c>
      <c r="C5" s="9" t="s">
        <v>43</v>
      </c>
    </row>
    <row r="6" customFormat="false" ht="9.75" hidden="false" customHeight="false" outlineLevel="0" collapsed="false">
      <c r="A6" s="9" t="s">
        <v>37</v>
      </c>
      <c r="B6" s="9" t="s">
        <v>16</v>
      </c>
      <c r="C6" s="9" t="s">
        <v>44</v>
      </c>
    </row>
    <row r="7" customFormat="false" ht="9.75" hidden="false" customHeight="false" outlineLevel="0" collapsed="false">
      <c r="A7" s="9" t="s">
        <v>37</v>
      </c>
      <c r="B7" s="9" t="s">
        <v>45</v>
      </c>
      <c r="C7" s="9" t="s">
        <v>46</v>
      </c>
    </row>
    <row r="8" customFormat="false" ht="9.75" hidden="false" customHeight="false" outlineLevel="0" collapsed="false">
      <c r="A8" s="9" t="s">
        <v>37</v>
      </c>
      <c r="B8" s="9" t="s">
        <v>47</v>
      </c>
      <c r="C8" s="9" t="s">
        <v>48</v>
      </c>
    </row>
    <row r="9" customFormat="false" ht="9.75" hidden="false" customHeight="false" outlineLevel="0" collapsed="false">
      <c r="A9" s="9" t="s">
        <v>37</v>
      </c>
      <c r="B9" s="9" t="s">
        <v>49</v>
      </c>
      <c r="C9" s="9" t="s">
        <v>50</v>
      </c>
    </row>
    <row r="10" customFormat="false" ht="9.75" hidden="false" customHeight="false" outlineLevel="0" collapsed="false">
      <c r="A10" s="9" t="s">
        <v>51</v>
      </c>
      <c r="B10" s="9" t="s">
        <v>52</v>
      </c>
      <c r="C10" s="9" t="s">
        <v>53</v>
      </c>
    </row>
    <row r="11" customFormat="false" ht="9.75" hidden="false" customHeight="false" outlineLevel="0" collapsed="false">
      <c r="A11" s="9" t="s">
        <v>51</v>
      </c>
      <c r="B11" s="9" t="s">
        <v>54</v>
      </c>
      <c r="C11" s="9" t="s">
        <v>55</v>
      </c>
    </row>
    <row r="12" customFormat="false" ht="9.75" hidden="false" customHeight="false" outlineLevel="0" collapsed="false">
      <c r="A12" s="9" t="s">
        <v>51</v>
      </c>
      <c r="B12" s="9" t="s">
        <v>56</v>
      </c>
      <c r="C12" s="9" t="s">
        <v>57</v>
      </c>
    </row>
    <row r="13" customFormat="false" ht="9.75" hidden="false" customHeight="false" outlineLevel="0" collapsed="false">
      <c r="A13" s="9" t="s">
        <v>51</v>
      </c>
      <c r="B13" s="9" t="s">
        <v>58</v>
      </c>
      <c r="C13" s="9" t="s">
        <v>59</v>
      </c>
    </row>
    <row r="14" customFormat="false" ht="9.75" hidden="false" customHeight="false" outlineLevel="0" collapsed="false">
      <c r="A14" s="9" t="s">
        <v>51</v>
      </c>
      <c r="B14" s="9" t="s">
        <v>60</v>
      </c>
      <c r="C14" s="9" t="s">
        <v>61</v>
      </c>
    </row>
    <row r="15" customFormat="false" ht="9.75" hidden="false" customHeight="false" outlineLevel="0" collapsed="false">
      <c r="A15" s="9" t="s">
        <v>51</v>
      </c>
      <c r="B15" s="9" t="s">
        <v>62</v>
      </c>
      <c r="C15" s="9" t="s">
        <v>63</v>
      </c>
    </row>
    <row r="16" customFormat="false" ht="9.75" hidden="false" customHeight="false" outlineLevel="0" collapsed="false">
      <c r="A16" s="9" t="s">
        <v>51</v>
      </c>
      <c r="B16" s="9" t="s">
        <v>64</v>
      </c>
      <c r="C16" s="9" t="s">
        <v>65</v>
      </c>
    </row>
    <row r="17" customFormat="false" ht="9.75" hidden="false" customHeight="false" outlineLevel="0" collapsed="false">
      <c r="A17" s="9" t="s">
        <v>51</v>
      </c>
      <c r="B17" s="9" t="s">
        <v>66</v>
      </c>
      <c r="C17" s="9" t="s">
        <v>67</v>
      </c>
    </row>
    <row r="18" customFormat="false" ht="9.75" hidden="false" customHeight="false" outlineLevel="0" collapsed="false">
      <c r="A18" s="9" t="s">
        <v>51</v>
      </c>
      <c r="B18" s="9" t="s">
        <v>68</v>
      </c>
      <c r="C18" s="9" t="s">
        <v>69</v>
      </c>
    </row>
    <row r="19" customFormat="false" ht="9.75" hidden="false" customHeight="false" outlineLevel="0" collapsed="false">
      <c r="A19" s="9" t="s">
        <v>51</v>
      </c>
      <c r="B19" s="9" t="s">
        <v>70</v>
      </c>
      <c r="C19" s="9" t="s">
        <v>71</v>
      </c>
    </row>
    <row r="20" customFormat="false" ht="9.75" hidden="false" customHeight="false" outlineLevel="0" collapsed="false">
      <c r="A20" s="9" t="s">
        <v>51</v>
      </c>
      <c r="B20" s="9" t="s">
        <v>72</v>
      </c>
      <c r="C20" s="9" t="s">
        <v>73</v>
      </c>
    </row>
    <row r="21" customFormat="false" ht="9.75" hidden="false" customHeight="false" outlineLevel="0" collapsed="false">
      <c r="A21" s="9" t="s">
        <v>51</v>
      </c>
      <c r="B21" s="9" t="s">
        <v>74</v>
      </c>
      <c r="C21" s="9" t="s">
        <v>75</v>
      </c>
    </row>
    <row r="22" customFormat="false" ht="9.75" hidden="false" customHeight="false" outlineLevel="0" collapsed="false">
      <c r="A22" s="9" t="s">
        <v>51</v>
      </c>
      <c r="B22" s="9" t="s">
        <v>76</v>
      </c>
      <c r="C22" s="9" t="s">
        <v>76</v>
      </c>
    </row>
    <row r="23" customFormat="false" ht="9.75" hidden="false" customHeight="false" outlineLevel="0" collapsed="false">
      <c r="A23" s="9" t="s">
        <v>51</v>
      </c>
      <c r="B23" s="9" t="s">
        <v>77</v>
      </c>
      <c r="C23" s="9" t="s">
        <v>77</v>
      </c>
    </row>
    <row r="24" customFormat="false" ht="9.75" hidden="false" customHeight="false" outlineLevel="0" collapsed="false">
      <c r="A24" s="9" t="s">
        <v>51</v>
      </c>
      <c r="B24" s="9" t="s">
        <v>78</v>
      </c>
      <c r="C24" s="9" t="s">
        <v>78</v>
      </c>
    </row>
    <row r="25" customFormat="false" ht="9.75" hidden="false" customHeight="false" outlineLevel="0" collapsed="false">
      <c r="A25" s="9" t="s">
        <v>79</v>
      </c>
      <c r="B25" s="9" t="s">
        <v>80</v>
      </c>
      <c r="C25" s="9" t="s">
        <v>81</v>
      </c>
    </row>
    <row r="26" customFormat="false" ht="9.75" hidden="false" customHeight="false" outlineLevel="0" collapsed="false">
      <c r="A26" s="9" t="s">
        <v>79</v>
      </c>
      <c r="B26" s="9" t="s">
        <v>82</v>
      </c>
      <c r="C26" s="9" t="s">
        <v>83</v>
      </c>
    </row>
    <row r="27" customFormat="false" ht="9.75" hidden="false" customHeight="false" outlineLevel="0" collapsed="false">
      <c r="A27" s="9" t="s">
        <v>79</v>
      </c>
      <c r="B27" s="9" t="s">
        <v>84</v>
      </c>
      <c r="C27" s="9" t="s">
        <v>85</v>
      </c>
    </row>
    <row r="28" customFormat="false" ht="9.75" hidden="false" customHeight="false" outlineLevel="0" collapsed="false">
      <c r="A28" s="9" t="s">
        <v>79</v>
      </c>
      <c r="B28" s="9" t="s">
        <v>86</v>
      </c>
      <c r="C28" s="9" t="s">
        <v>87</v>
      </c>
    </row>
    <row r="29" customFormat="false" ht="9.75" hidden="false" customHeight="false" outlineLevel="0" collapsed="false">
      <c r="A29" s="9" t="s">
        <v>79</v>
      </c>
      <c r="B29" s="9" t="s">
        <v>88</v>
      </c>
      <c r="C29" s="9" t="s">
        <v>89</v>
      </c>
    </row>
    <row r="30" customFormat="false" ht="9.75" hidden="false" customHeight="false" outlineLevel="0" collapsed="false">
      <c r="A30" s="9" t="s">
        <v>79</v>
      </c>
      <c r="B30" s="9" t="s">
        <v>90</v>
      </c>
      <c r="C30" s="9" t="s">
        <v>91</v>
      </c>
    </row>
    <row r="31" customFormat="false" ht="9.75" hidden="false" customHeight="false" outlineLevel="0" collapsed="false">
      <c r="A31" s="9" t="s">
        <v>79</v>
      </c>
      <c r="B31" s="9" t="s">
        <v>92</v>
      </c>
      <c r="C31" s="9" t="s">
        <v>93</v>
      </c>
    </row>
    <row r="32" customFormat="false" ht="9.75" hidden="false" customHeight="false" outlineLevel="0" collapsed="false">
      <c r="A32" s="9" t="s">
        <v>79</v>
      </c>
      <c r="B32" s="9" t="s">
        <v>94</v>
      </c>
      <c r="C32" s="9" t="s">
        <v>95</v>
      </c>
    </row>
    <row r="33" customFormat="false" ht="9.75" hidden="false" customHeight="false" outlineLevel="0" collapsed="false">
      <c r="A33" s="9" t="s">
        <v>79</v>
      </c>
      <c r="B33" s="9" t="s">
        <v>96</v>
      </c>
      <c r="C33" s="9" t="s">
        <v>97</v>
      </c>
    </row>
    <row r="34" customFormat="false" ht="9.75" hidden="false" customHeight="false" outlineLevel="0" collapsed="false">
      <c r="A34" s="9" t="s">
        <v>79</v>
      </c>
      <c r="B34" s="9" t="s">
        <v>98</v>
      </c>
      <c r="C34" s="9" t="s">
        <v>99</v>
      </c>
    </row>
    <row r="35" customFormat="false" ht="9.75" hidden="false" customHeight="false" outlineLevel="0" collapsed="false">
      <c r="A35" s="9" t="s">
        <v>79</v>
      </c>
      <c r="B35" s="9" t="s">
        <v>100</v>
      </c>
      <c r="C35" s="9" t="s">
        <v>101</v>
      </c>
    </row>
    <row r="36" customFormat="false" ht="9.75" hidden="false" customHeight="false" outlineLevel="0" collapsed="false">
      <c r="A36" s="9" t="s">
        <v>79</v>
      </c>
      <c r="B36" s="9" t="s">
        <v>102</v>
      </c>
      <c r="C36" s="9" t="s">
        <v>103</v>
      </c>
    </row>
    <row r="37" customFormat="false" ht="9.75" hidden="false" customHeight="false" outlineLevel="0" collapsed="false">
      <c r="A37" s="9" t="s">
        <v>79</v>
      </c>
      <c r="B37" s="9" t="s">
        <v>104</v>
      </c>
      <c r="C37" s="9" t="s">
        <v>105</v>
      </c>
    </row>
    <row r="38" customFormat="false" ht="9.75" hidden="false" customHeight="false" outlineLevel="0" collapsed="false">
      <c r="A38" s="9" t="s">
        <v>79</v>
      </c>
      <c r="B38" s="9" t="s">
        <v>106</v>
      </c>
      <c r="C38" s="9" t="s">
        <v>107</v>
      </c>
    </row>
    <row r="39" customFormat="false" ht="9.75" hidden="false" customHeight="false" outlineLevel="0" collapsed="false">
      <c r="A39" s="9" t="s">
        <v>79</v>
      </c>
      <c r="B39" s="9" t="s">
        <v>108</v>
      </c>
      <c r="C39" s="9" t="s">
        <v>109</v>
      </c>
    </row>
    <row r="40" customFormat="false" ht="9.75" hidden="false" customHeight="false" outlineLevel="0" collapsed="false">
      <c r="A40" s="9" t="s">
        <v>79</v>
      </c>
      <c r="B40" s="9" t="s">
        <v>110</v>
      </c>
      <c r="C40" s="9" t="s">
        <v>111</v>
      </c>
    </row>
    <row r="41" customFormat="false" ht="9.75" hidden="false" customHeight="false" outlineLevel="0" collapsed="false">
      <c r="A41" s="9" t="s">
        <v>79</v>
      </c>
      <c r="B41" s="9" t="s">
        <v>112</v>
      </c>
      <c r="C41" s="9" t="s">
        <v>113</v>
      </c>
    </row>
    <row r="42" customFormat="false" ht="9.75" hidden="false" customHeight="false" outlineLevel="0" collapsed="false">
      <c r="A42" s="9" t="s">
        <v>79</v>
      </c>
      <c r="B42" s="9" t="s">
        <v>114</v>
      </c>
      <c r="C42" s="9" t="s">
        <v>115</v>
      </c>
    </row>
    <row r="43" customFormat="false" ht="9.75" hidden="false" customHeight="false" outlineLevel="0" collapsed="false">
      <c r="A43" s="9" t="s">
        <v>79</v>
      </c>
      <c r="B43" s="9" t="s">
        <v>116</v>
      </c>
      <c r="C43" s="9" t="s">
        <v>117</v>
      </c>
    </row>
    <row r="44" customFormat="false" ht="9.75" hidden="false" customHeight="false" outlineLevel="0" collapsed="false">
      <c r="A44" s="9" t="s">
        <v>79</v>
      </c>
      <c r="B44" s="9" t="s">
        <v>118</v>
      </c>
      <c r="C44" s="9" t="s">
        <v>119</v>
      </c>
    </row>
    <row r="45" customFormat="false" ht="9.75" hidden="false" customHeight="false" outlineLevel="0" collapsed="false">
      <c r="A45" s="9" t="s">
        <v>79</v>
      </c>
      <c r="B45" s="9" t="s">
        <v>120</v>
      </c>
      <c r="C45" s="9" t="s">
        <v>121</v>
      </c>
    </row>
    <row r="46" customFormat="false" ht="9.75" hidden="false" customHeight="false" outlineLevel="0" collapsed="false">
      <c r="A46" s="9" t="s">
        <v>122</v>
      </c>
      <c r="B46" s="9" t="s">
        <v>123</v>
      </c>
      <c r="C46" s="9" t="s">
        <v>124</v>
      </c>
    </row>
    <row r="47" customFormat="false" ht="9.75" hidden="false" customHeight="false" outlineLevel="0" collapsed="false">
      <c r="A47" s="9" t="s">
        <v>122</v>
      </c>
      <c r="B47" s="9" t="s">
        <v>125</v>
      </c>
      <c r="C47" s="9" t="s">
        <v>126</v>
      </c>
    </row>
    <row r="48" customFormat="false" ht="9.75" hidden="false" customHeight="false" outlineLevel="0" collapsed="false">
      <c r="A48" s="9" t="s">
        <v>127</v>
      </c>
      <c r="B48" s="9" t="s">
        <v>17</v>
      </c>
      <c r="C48" s="9" t="s">
        <v>128</v>
      </c>
    </row>
    <row r="49" customFormat="false" ht="9.75" hidden="false" customHeight="false" outlineLevel="0" collapsed="false">
      <c r="A49" s="9" t="s">
        <v>127</v>
      </c>
      <c r="B49" s="9" t="s">
        <v>129</v>
      </c>
      <c r="C49" s="9" t="s">
        <v>130</v>
      </c>
    </row>
    <row r="50" customFormat="false" ht="9.75" hidden="false" customHeight="false" outlineLevel="0" collapsed="false">
      <c r="A50" s="9" t="s">
        <v>127</v>
      </c>
      <c r="B50" s="9" t="s">
        <v>131</v>
      </c>
      <c r="C50" s="9" t="s">
        <v>132</v>
      </c>
    </row>
    <row r="51" customFormat="false" ht="9.75" hidden="false" customHeight="false" outlineLevel="0" collapsed="false">
      <c r="A51" s="9" t="s">
        <v>133</v>
      </c>
      <c r="B51" s="9" t="s">
        <v>134</v>
      </c>
      <c r="C51" s="9" t="s">
        <v>135</v>
      </c>
    </row>
    <row r="52" customFormat="false" ht="9.75" hidden="false" customHeight="false" outlineLevel="0" collapsed="false">
      <c r="A52" s="9" t="s">
        <v>133</v>
      </c>
      <c r="B52" s="9" t="s">
        <v>13</v>
      </c>
      <c r="C52" s="9" t="s">
        <v>136</v>
      </c>
    </row>
    <row r="53" customFormat="false" ht="9.75" hidden="false" customHeight="false" outlineLevel="0" collapsed="false">
      <c r="A53" s="9"/>
      <c r="B53" s="9"/>
      <c r="C53" s="9"/>
    </row>
    <row r="54" customFormat="false" ht="9.75" hidden="false" customHeight="false" outlineLevel="0" collapsed="false">
      <c r="A54" s="9"/>
      <c r="B54" s="9"/>
      <c r="C54" s="9"/>
    </row>
    <row r="55" customFormat="false" ht="9.75" hidden="false" customHeight="false" outlineLevel="0" collapsed="false">
      <c r="A55" s="9"/>
      <c r="B55" s="9"/>
      <c r="C55" s="9"/>
    </row>
    <row r="56" customFormat="false" ht="9.75" hidden="false" customHeight="false" outlineLevel="0" collapsed="false">
      <c r="A56" s="9"/>
      <c r="B56" s="9"/>
      <c r="C56" s="9"/>
    </row>
    <row r="57" customFormat="false" ht="9.75" hidden="false" customHeight="false" outlineLevel="0" collapsed="false">
      <c r="A57" s="9"/>
      <c r="B57" s="9"/>
      <c r="C57" s="9"/>
    </row>
    <row r="58" customFormat="false" ht="9.75" hidden="false" customHeight="false" outlineLevel="0" collapsed="false">
      <c r="A58" s="9"/>
      <c r="B58" s="9"/>
      <c r="C58" s="9"/>
    </row>
    <row r="59" customFormat="false" ht="9.75" hidden="false" customHeight="false" outlineLevel="0" collapsed="false">
      <c r="A59" s="9"/>
      <c r="B59" s="9"/>
      <c r="C59" s="9"/>
    </row>
    <row r="60" customFormat="false" ht="9.75" hidden="false" customHeight="false" outlineLevel="0" collapsed="false">
      <c r="A60" s="9"/>
      <c r="B60" s="9"/>
      <c r="C60" s="9"/>
    </row>
    <row r="61" customFormat="false" ht="9.75" hidden="false" customHeight="false" outlineLevel="0" collapsed="false">
      <c r="A61" s="9"/>
      <c r="B61" s="9"/>
      <c r="C61" s="9"/>
    </row>
    <row r="62" customFormat="false" ht="9.75" hidden="false" customHeight="false" outlineLevel="0" collapsed="false">
      <c r="A62" s="9"/>
      <c r="B62" s="9"/>
      <c r="C62" s="9"/>
    </row>
    <row r="63" customFormat="false" ht="9.75" hidden="false" customHeight="false" outlineLevel="0" collapsed="false">
      <c r="A63" s="9"/>
      <c r="B63" s="9"/>
      <c r="C63" s="9"/>
    </row>
    <row r="64" customFormat="false" ht="9.75" hidden="false" customHeight="false" outlineLevel="0" collapsed="false">
      <c r="A64" s="9"/>
      <c r="B64" s="9"/>
      <c r="C64" s="9"/>
    </row>
    <row r="65" customFormat="false" ht="9.75" hidden="false" customHeight="false" outlineLevel="0" collapsed="false">
      <c r="A65" s="9"/>
      <c r="B65" s="9"/>
      <c r="C65" s="9"/>
    </row>
    <row r="66" customFormat="false" ht="9.75" hidden="false" customHeight="false" outlineLevel="0" collapsed="false">
      <c r="A66" s="9"/>
      <c r="B66" s="9"/>
      <c r="C66" s="9"/>
    </row>
    <row r="67" customFormat="false" ht="9.75" hidden="false" customHeight="false" outlineLevel="0" collapsed="false">
      <c r="A67" s="9"/>
      <c r="B67" s="9"/>
      <c r="C67" s="9"/>
    </row>
    <row r="68" customFormat="false" ht="9.75" hidden="false" customHeight="false" outlineLevel="0" collapsed="false">
      <c r="A68" s="9"/>
      <c r="B68" s="9"/>
      <c r="C68" s="9"/>
    </row>
    <row r="69" customFormat="false" ht="9.75" hidden="false" customHeight="false" outlineLevel="0" collapsed="false">
      <c r="A69" s="9"/>
      <c r="B69" s="9"/>
      <c r="C69" s="9"/>
    </row>
    <row r="70" customFormat="false" ht="9.75" hidden="false" customHeight="false" outlineLevel="0" collapsed="false">
      <c r="A70" s="9"/>
      <c r="B70" s="9"/>
      <c r="C70" s="9"/>
    </row>
    <row r="71" customFormat="false" ht="9.75" hidden="false" customHeight="false" outlineLevel="0" collapsed="false">
      <c r="A71" s="9"/>
      <c r="B71" s="9"/>
      <c r="C71" s="9"/>
    </row>
    <row r="72" customFormat="false" ht="9.75" hidden="false" customHeight="false" outlineLevel="0" collapsed="false">
      <c r="A72" s="9"/>
      <c r="B72" s="9"/>
      <c r="C72" s="9"/>
    </row>
    <row r="73" customFormat="false" ht="9.75" hidden="false" customHeight="false" outlineLevel="0" collapsed="false">
      <c r="A73" s="9"/>
      <c r="B73" s="9"/>
      <c r="C73" s="9"/>
    </row>
    <row r="74" customFormat="false" ht="9.75" hidden="false" customHeight="false" outlineLevel="0" collapsed="false">
      <c r="A74" s="9"/>
      <c r="B74" s="9"/>
      <c r="C74" s="9"/>
    </row>
    <row r="75" customFormat="false" ht="9.75" hidden="false" customHeight="false" outlineLevel="0" collapsed="false">
      <c r="A75" s="9"/>
      <c r="B75" s="9"/>
      <c r="C75" s="9"/>
    </row>
    <row r="76" customFormat="false" ht="9.75" hidden="false" customHeight="false" outlineLevel="0" collapsed="false">
      <c r="A76" s="9"/>
      <c r="B76" s="9"/>
      <c r="C76" s="9"/>
    </row>
    <row r="77" customFormat="false" ht="9.75" hidden="false" customHeight="false" outlineLevel="0" collapsed="false">
      <c r="A77" s="9"/>
      <c r="B77" s="9"/>
      <c r="C77" s="9"/>
    </row>
    <row r="78" customFormat="false" ht="9.75" hidden="false" customHeight="false" outlineLevel="0" collapsed="false">
      <c r="A78" s="9"/>
      <c r="B78" s="9"/>
      <c r="C78" s="9"/>
    </row>
    <row r="79" customFormat="false" ht="9.75" hidden="false" customHeight="false" outlineLevel="0" collapsed="false">
      <c r="A79" s="9"/>
      <c r="B79" s="9"/>
      <c r="C79" s="9"/>
    </row>
    <row r="80" customFormat="false" ht="9.75" hidden="false" customHeight="false" outlineLevel="0" collapsed="false">
      <c r="A80" s="9"/>
      <c r="B80" s="9"/>
      <c r="C80" s="9"/>
    </row>
    <row r="81" customFormat="false" ht="9.75" hidden="false" customHeight="false" outlineLevel="0" collapsed="false">
      <c r="A81" s="9"/>
      <c r="B81" s="9"/>
      <c r="C81" s="9"/>
    </row>
    <row r="82" customFormat="false" ht="9.75" hidden="false" customHeight="false" outlineLevel="0" collapsed="false">
      <c r="A82" s="9"/>
      <c r="B82" s="9"/>
      <c r="C82" s="9"/>
    </row>
    <row r="83" customFormat="false" ht="9.75" hidden="false" customHeight="false" outlineLevel="0" collapsed="false">
      <c r="A83" s="9"/>
      <c r="B83" s="9"/>
      <c r="C83" s="9"/>
    </row>
    <row r="84" customFormat="false" ht="9.75" hidden="false" customHeight="false" outlineLevel="0" collapsed="false">
      <c r="A84" s="9"/>
      <c r="B84" s="9"/>
      <c r="C84" s="9"/>
    </row>
    <row r="85" customFormat="false" ht="9.75" hidden="false" customHeight="false" outlineLevel="0" collapsed="false">
      <c r="A85" s="9"/>
      <c r="B85" s="9"/>
      <c r="C85" s="9"/>
    </row>
    <row r="86" customFormat="false" ht="9.75" hidden="false" customHeight="false" outlineLevel="0" collapsed="false">
      <c r="A86" s="9"/>
      <c r="B86" s="9"/>
      <c r="C86" s="9"/>
    </row>
    <row r="87" customFormat="false" ht="9.75" hidden="false" customHeight="false" outlineLevel="0" collapsed="false">
      <c r="A87" s="9"/>
      <c r="B87" s="9"/>
      <c r="C87" s="9"/>
    </row>
    <row r="88" customFormat="false" ht="9.75" hidden="false" customHeight="false" outlineLevel="0" collapsed="false">
      <c r="A88" s="9"/>
      <c r="B88" s="9"/>
      <c r="C88" s="9"/>
    </row>
    <row r="89" customFormat="false" ht="9.75" hidden="false" customHeight="false" outlineLevel="0" collapsed="false">
      <c r="A89" s="9"/>
      <c r="B89" s="9"/>
      <c r="C89" s="9"/>
    </row>
    <row r="90" customFormat="false" ht="9.75" hidden="false" customHeight="false" outlineLevel="0" collapsed="false">
      <c r="A90" s="9"/>
      <c r="B90" s="9"/>
      <c r="C90" s="9"/>
    </row>
    <row r="91" customFormat="false" ht="9.75" hidden="false" customHeight="false" outlineLevel="0" collapsed="false">
      <c r="A91" s="9"/>
      <c r="B91" s="9"/>
      <c r="C91" s="9"/>
    </row>
    <row r="92" customFormat="false" ht="9.75" hidden="false" customHeight="false" outlineLevel="0" collapsed="false">
      <c r="A92" s="9"/>
      <c r="B92" s="9"/>
      <c r="C92" s="9"/>
    </row>
    <row r="93" customFormat="false" ht="9.75" hidden="false" customHeight="false" outlineLevel="0" collapsed="false">
      <c r="A93" s="9"/>
      <c r="B93" s="9"/>
      <c r="C93" s="9"/>
    </row>
    <row r="94" customFormat="false" ht="9.75" hidden="false" customHeight="false" outlineLevel="0" collapsed="false">
      <c r="A94" s="9"/>
      <c r="B94" s="9"/>
      <c r="C94" s="9"/>
    </row>
    <row r="95" customFormat="false" ht="9.75" hidden="false" customHeight="false" outlineLevel="0" collapsed="false">
      <c r="C95" s="9"/>
    </row>
    <row r="96" customFormat="false" ht="9.75" hidden="false" customHeight="false" outlineLevel="0" collapsed="false">
      <c r="C96" s="9"/>
    </row>
    <row r="97" customFormat="false" ht="9.75" hidden="false" customHeight="false" outlineLevel="0" collapsed="false">
      <c r="C97" s="9"/>
    </row>
  </sheetData>
  <printOptions headings="false" gridLines="false" gridLinesSet="true" horizontalCentered="false" verticalCentered="false"/>
  <pageMargins left="0.7" right="0.7" top="0.75" bottom="0.75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&amp;L_x005F_x000D_&amp;1#&amp;"Aptos,Regular"&amp;10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2019-02-15T17:47:31Z</dcterms:created>
  <dc:creator>gregor</dc:creator>
  <dc:description/>
  <dc:language>es-MX</dc:language>
  <cp:lastModifiedBy/>
  <cp:lastPrinted>2019-05-30T09:29:31Z</cp:lastPrinted>
  <dcterms:modified xsi:type="dcterms:W3CDTF">2026-02-09T15:36:55Z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ActionId">
    <vt:lpwstr>333f0942-8e86-4f0c-8301-737c01edc62f</vt:lpwstr>
  </property>
  <property fmtid="{D5CDD505-2E9C-101B-9397-08002B2CF9AE}" pid="3" name="MSIP_Label_9108d454-5c13-4905-93be-12ec8059c842_ContentBits">
    <vt:lpwstr>2</vt:lpwstr>
  </property>
  <property fmtid="{D5CDD505-2E9C-101B-9397-08002B2CF9AE}" pid="4" name="MSIP_Label_9108d454-5c13-4905-93be-12ec8059c842_Enabled">
    <vt:lpwstr>true</vt:lpwstr>
  </property>
  <property fmtid="{D5CDD505-2E9C-101B-9397-08002B2CF9AE}" pid="5" name="MSIP_Label_9108d454-5c13-4905-93be-12ec8059c842_Method">
    <vt:lpwstr>Privileged</vt:lpwstr>
  </property>
  <property fmtid="{D5CDD505-2E9C-101B-9397-08002B2CF9AE}" pid="6" name="MSIP_Label_9108d454-5c13-4905-93be-12ec8059c842_Name">
    <vt:lpwstr>9108d454-5c13-4905-93be-12ec8059c842</vt:lpwstr>
  </property>
  <property fmtid="{D5CDD505-2E9C-101B-9397-08002B2CF9AE}" pid="7" name="MSIP_Label_9108d454-5c13-4905-93be-12ec8059c842_SetDate">
    <vt:lpwstr>2026-02-09T18:10:12Z</vt:lpwstr>
  </property>
  <property fmtid="{D5CDD505-2E9C-101B-9397-08002B2CF9AE}" pid="8" name="MSIP_Label_9108d454-5c13-4905-93be-12ec8059c842_SiteId">
    <vt:lpwstr>473672ba-cd07-4371-a2ae-788b4c61840e</vt:lpwstr>
  </property>
  <property fmtid="{D5CDD505-2E9C-101B-9397-08002B2CF9AE}" pid="9" name="MSIP_Label_9108d454-5c13-4905-93be-12ec8059c842_Tag">
    <vt:lpwstr>10, 0, 1, 1</vt:lpwstr>
  </property>
  <property fmtid="{D5CDD505-2E9C-101B-9397-08002B2CF9AE}" pid="10" name="MSIP_Label_9386b39a-f873-4afb-95b7-159453b5f857_ActionId">
    <vt:lpwstr>405f5ad2-2312-4279-af72-65fc264f6694</vt:lpwstr>
  </property>
  <property fmtid="{D5CDD505-2E9C-101B-9397-08002B2CF9AE}" pid="11" name="MSIP_Label_9386b39a-f873-4afb-95b7-159453b5f857_ContentBits">
    <vt:lpwstr>0</vt:lpwstr>
  </property>
  <property fmtid="{D5CDD505-2E9C-101B-9397-08002B2CF9AE}" pid="12" name="MSIP_Label_9386b39a-f873-4afb-95b7-159453b5f857_Enabled">
    <vt:lpwstr>true</vt:lpwstr>
  </property>
  <property fmtid="{D5CDD505-2E9C-101B-9397-08002B2CF9AE}" pid="13" name="MSIP_Label_9386b39a-f873-4afb-95b7-159453b5f857_Method">
    <vt:lpwstr>Standard</vt:lpwstr>
  </property>
  <property fmtid="{D5CDD505-2E9C-101B-9397-08002B2CF9AE}" pid="14" name="MSIP_Label_9386b39a-f873-4afb-95b7-159453b5f857_Name">
    <vt:lpwstr>General</vt:lpwstr>
  </property>
  <property fmtid="{D5CDD505-2E9C-101B-9397-08002B2CF9AE}" pid="15" name="MSIP_Label_9386b39a-f873-4afb-95b7-159453b5f857_SetDate">
    <vt:lpwstr>2024-06-13T11:30:25Z</vt:lpwstr>
  </property>
  <property fmtid="{D5CDD505-2E9C-101B-9397-08002B2CF9AE}" pid="16" name="MSIP_Label_9386b39a-f873-4afb-95b7-159453b5f857_SiteId">
    <vt:lpwstr>3d918542-68a9-4e89-ac7a-0f74754ddb24</vt:lpwstr>
  </property>
</Properties>
</file>